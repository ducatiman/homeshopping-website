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ons\Desktop\지원사업_정산농협\"/>
    </mc:Choice>
  </mc:AlternateContent>
  <xr:revisionPtr revIDLastSave="0" documentId="13_ncr:1_{F15F59DF-41EE-428E-B37A-308F238B602F}" xr6:coauthVersionLast="47" xr6:coauthVersionMax="47" xr10:uidLastSave="{00000000-0000-0000-0000-000000000000}"/>
  <bookViews>
    <workbookView xWindow="-98" yWindow="-98" windowWidth="21795" windowHeight="12975" firstSheet="2" activeTab="5" xr2:uid="{CD967DFD-FAF0-4524-BB44-E1A3C7979013}"/>
  </bookViews>
  <sheets>
    <sheet name="청양식 닭갈비 밀키트" sheetId="4" r:id="rId1"/>
    <sheet name="청양식 한우육개장 밀키트" sheetId="2" r:id="rId2"/>
    <sheet name="표고와사비장" sheetId="3" r:id="rId3"/>
    <sheet name="청양식 한우불고기 밀키트" sheetId="5" r:id="rId4"/>
    <sheet name="청양식 된장찌개 밀키트" sheetId="6" r:id="rId5"/>
    <sheet name="청양식 두부전골 밀키트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7" l="1"/>
  <c r="C68" i="7" s="1"/>
  <c r="C65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37" i="7"/>
  <c r="D36" i="7" s="1"/>
  <c r="D35" i="7"/>
  <c r="C19" i="7"/>
  <c r="D15" i="7" s="1"/>
  <c r="D18" i="7"/>
  <c r="D17" i="7"/>
  <c r="D16" i="7"/>
  <c r="D7" i="7"/>
  <c r="D6" i="7"/>
  <c r="D5" i="7"/>
  <c r="D69" i="6"/>
  <c r="C68" i="6" s="1"/>
  <c r="C63" i="6"/>
  <c r="C60" i="6"/>
  <c r="C59" i="6"/>
  <c r="C58" i="6"/>
  <c r="C57" i="6"/>
  <c r="C56" i="6"/>
  <c r="C55" i="6"/>
  <c r="C54" i="6"/>
  <c r="C53" i="6"/>
  <c r="C52" i="6"/>
  <c r="C51" i="6"/>
  <c r="C50" i="6"/>
  <c r="C49" i="6"/>
  <c r="C37" i="6"/>
  <c r="D36" i="6" s="1"/>
  <c r="C19" i="6"/>
  <c r="D13" i="6" s="1"/>
  <c r="D18" i="6"/>
  <c r="D17" i="6"/>
  <c r="D16" i="6"/>
  <c r="D15" i="6"/>
  <c r="D14" i="6"/>
  <c r="D69" i="5"/>
  <c r="C50" i="5" s="1"/>
  <c r="C37" i="5"/>
  <c r="D36" i="5" s="1"/>
  <c r="D33" i="5"/>
  <c r="C19" i="5"/>
  <c r="D14" i="5" s="1"/>
  <c r="C19" i="4"/>
  <c r="D5" i="4" s="1"/>
  <c r="C37" i="4"/>
  <c r="D35" i="4" s="1"/>
  <c r="D69" i="4"/>
  <c r="C50" i="4" s="1"/>
  <c r="E75" i="2"/>
  <c r="E76" i="2"/>
  <c r="E77" i="2"/>
  <c r="E78" i="2"/>
  <c r="E79" i="2"/>
  <c r="E80" i="2"/>
  <c r="E81" i="2"/>
  <c r="E82" i="2"/>
  <c r="E83" i="2"/>
  <c r="E84" i="2"/>
  <c r="E85" i="2"/>
  <c r="E87" i="2"/>
  <c r="E88" i="2"/>
  <c r="E89" i="2"/>
  <c r="E90" i="2"/>
  <c r="D74" i="2"/>
  <c r="E60" i="2"/>
  <c r="E59" i="2"/>
  <c r="E61" i="2"/>
  <c r="E58" i="2"/>
  <c r="E6" i="2"/>
  <c r="E7" i="2"/>
  <c r="E8" i="2"/>
  <c r="E9" i="2"/>
  <c r="E10" i="2"/>
  <c r="E11" i="2"/>
  <c r="E12" i="2"/>
  <c r="E13" i="2"/>
  <c r="E14" i="2"/>
  <c r="E15" i="2"/>
  <c r="E5" i="2"/>
  <c r="D10" i="3"/>
  <c r="C9" i="3" s="1"/>
  <c r="D90" i="2"/>
  <c r="D86" i="2"/>
  <c r="D75" i="2"/>
  <c r="C62" i="2"/>
  <c r="D59" i="2" s="1"/>
  <c r="D46" i="2"/>
  <c r="C46" i="2"/>
  <c r="C31" i="2"/>
  <c r="D30" i="2" s="1"/>
  <c r="D29" i="2"/>
  <c r="C16" i="2"/>
  <c r="D13" i="2" s="1"/>
  <c r="D12" i="7" l="1"/>
  <c r="D9" i="7"/>
  <c r="D13" i="7"/>
  <c r="C64" i="7"/>
  <c r="D10" i="7"/>
  <c r="D14" i="7"/>
  <c r="D8" i="7"/>
  <c r="D19" i="7" s="1"/>
  <c r="D11" i="7"/>
  <c r="D32" i="7"/>
  <c r="C66" i="7"/>
  <c r="D33" i="7"/>
  <c r="C67" i="7"/>
  <c r="D34" i="7"/>
  <c r="C61" i="6"/>
  <c r="C62" i="6"/>
  <c r="D6" i="6"/>
  <c r="D7" i="6"/>
  <c r="D5" i="6"/>
  <c r="D11" i="6"/>
  <c r="C64" i="6"/>
  <c r="D12" i="6"/>
  <c r="C65" i="6"/>
  <c r="D9" i="6"/>
  <c r="D32" i="6"/>
  <c r="C66" i="6"/>
  <c r="D8" i="6"/>
  <c r="D10" i="6"/>
  <c r="D33" i="6"/>
  <c r="C67" i="6"/>
  <c r="D34" i="6"/>
  <c r="D35" i="6"/>
  <c r="C49" i="5"/>
  <c r="C51" i="5"/>
  <c r="C52" i="5"/>
  <c r="C53" i="5"/>
  <c r="C54" i="5"/>
  <c r="C55" i="5"/>
  <c r="C56" i="5"/>
  <c r="C57" i="5"/>
  <c r="C58" i="5"/>
  <c r="C59" i="5"/>
  <c r="C61" i="5"/>
  <c r="C62" i="5"/>
  <c r="C60" i="5"/>
  <c r="C63" i="5"/>
  <c r="D18" i="5"/>
  <c r="C64" i="5"/>
  <c r="C65" i="5"/>
  <c r="D17" i="5"/>
  <c r="D6" i="5"/>
  <c r="C67" i="5"/>
  <c r="D5" i="5"/>
  <c r="D15" i="5"/>
  <c r="D16" i="5"/>
  <c r="D8" i="5"/>
  <c r="D9" i="5"/>
  <c r="D32" i="5"/>
  <c r="C66" i="5"/>
  <c r="D10" i="5"/>
  <c r="D11" i="5"/>
  <c r="D34" i="5"/>
  <c r="C68" i="5"/>
  <c r="D12" i="5"/>
  <c r="D35" i="5"/>
  <c r="D13" i="5"/>
  <c r="D7" i="5"/>
  <c r="C19" i="3"/>
  <c r="C8" i="3"/>
  <c r="C3" i="3"/>
  <c r="C4" i="3"/>
  <c r="C5" i="3"/>
  <c r="C6" i="3"/>
  <c r="C7" i="3"/>
  <c r="D16" i="4"/>
  <c r="D15" i="4"/>
  <c r="D14" i="4"/>
  <c r="D10" i="4"/>
  <c r="C60" i="4"/>
  <c r="C49" i="4"/>
  <c r="C59" i="4"/>
  <c r="C61" i="4"/>
  <c r="D13" i="4"/>
  <c r="C78" i="4"/>
  <c r="D36" i="4"/>
  <c r="D12" i="4"/>
  <c r="D11" i="4"/>
  <c r="C56" i="4"/>
  <c r="C66" i="4"/>
  <c r="D32" i="4"/>
  <c r="D9" i="4"/>
  <c r="C57" i="4"/>
  <c r="D8" i="4"/>
  <c r="C68" i="4"/>
  <c r="C67" i="4"/>
  <c r="C65" i="4"/>
  <c r="D7" i="4"/>
  <c r="D34" i="4"/>
  <c r="D33" i="4"/>
  <c r="C54" i="4"/>
  <c r="C63" i="4"/>
  <c r="D6" i="4"/>
  <c r="C58" i="4"/>
  <c r="C55" i="4"/>
  <c r="C53" i="4"/>
  <c r="C64" i="4"/>
  <c r="C52" i="4"/>
  <c r="C51" i="4"/>
  <c r="D18" i="4"/>
  <c r="C62" i="4"/>
  <c r="D17" i="4"/>
  <c r="D15" i="2"/>
  <c r="D14" i="2"/>
  <c r="D31" i="2"/>
  <c r="D60" i="2"/>
  <c r="E62" i="2"/>
  <c r="E16" i="2"/>
  <c r="D61" i="2"/>
  <c r="D7" i="2"/>
  <c r="D8" i="2"/>
  <c r="D5" i="2"/>
  <c r="D10" i="2"/>
  <c r="D9" i="2"/>
  <c r="D11" i="2"/>
  <c r="D6" i="2"/>
  <c r="D12" i="2"/>
  <c r="D58" i="2"/>
  <c r="C69" i="7" l="1"/>
  <c r="D37" i="7"/>
  <c r="D19" i="6"/>
  <c r="C69" i="6"/>
  <c r="D37" i="6"/>
  <c r="C69" i="5"/>
  <c r="D19" i="5"/>
  <c r="D37" i="5"/>
  <c r="C10" i="3"/>
  <c r="C69" i="4"/>
  <c r="D37" i="4"/>
  <c r="D19" i="4"/>
  <c r="D62" i="2"/>
  <c r="D16" i="2"/>
  <c r="D91" i="2" l="1"/>
  <c r="C101" i="2" s="1"/>
  <c r="C86" i="2"/>
  <c r="C74" i="2"/>
  <c r="E74" i="2" s="1"/>
  <c r="C91" i="2" l="1"/>
  <c r="E86" i="2"/>
  <c r="E91" i="2" s="1"/>
</calcChain>
</file>

<file path=xl/sharedStrings.xml><?xml version="1.0" encoding="utf-8"?>
<sst xmlns="http://schemas.openxmlformats.org/spreadsheetml/2006/main" count="733" uniqueCount="169">
  <si>
    <t>구성품 1: 닭갈비분말스프</t>
    <phoneticPr fontId="2" type="noConversion"/>
  </si>
  <si>
    <t>순서</t>
    <phoneticPr fontId="2" type="noConversion"/>
  </si>
  <si>
    <t>제품명</t>
    <phoneticPr fontId="2" type="noConversion"/>
  </si>
  <si>
    <t>닭갈비용 파우더</t>
    <phoneticPr fontId="2" type="noConversion"/>
  </si>
  <si>
    <t>원료명</t>
    <phoneticPr fontId="2" type="noConversion"/>
  </si>
  <si>
    <t>함량(%)</t>
    <phoneticPr fontId="2" type="noConversion"/>
  </si>
  <si>
    <t>투입량(g)</t>
    <phoneticPr fontId="2" type="noConversion"/>
  </si>
  <si>
    <t>백설탕</t>
    <phoneticPr fontId="2" type="noConversion"/>
  </si>
  <si>
    <t>고춧가루/중국산/찜용</t>
  </si>
  <si>
    <t>CJ쇠고기다시다</t>
  </si>
  <si>
    <t>고춧가루/베트남산/고운</t>
  </si>
  <si>
    <t>조미간장분말</t>
  </si>
  <si>
    <t>옥수수전분</t>
  </si>
  <si>
    <t>정제소금</t>
  </si>
  <si>
    <t>락토유미락</t>
  </si>
  <si>
    <t>MSG</t>
  </si>
  <si>
    <t>마늘분말</t>
  </si>
  <si>
    <t>양파분말</t>
  </si>
  <si>
    <t>카레분말</t>
  </si>
  <si>
    <t>생강분말</t>
  </si>
  <si>
    <t>흑후추분말</t>
  </si>
  <si>
    <t>합계</t>
    <phoneticPr fontId="2" type="noConversion"/>
  </si>
  <si>
    <t>표시사항</t>
    <phoneticPr fontId="2" type="noConversion"/>
  </si>
  <si>
    <t>백설탕, 고춧가루1(중국산), 복합조미식품1[정제소금(국산),조미야채양념분말(중국산),L-글루탐산나트륨(향미증진제),설탕,식물성단백농축액],</t>
    <phoneticPr fontId="2" type="noConversion"/>
  </si>
  <si>
    <t>복합조미식품2, 옥수수전분(옥수수:수입산), 정제소금(국산), 식물성크림, L-글루탐산나트륨(향미증진제), 마늘분말, 양파분말, 카레분말, 생강분말, 흑후추분말</t>
    <phoneticPr fontId="2" type="noConversion"/>
  </si>
  <si>
    <t>알러지</t>
    <phoneticPr fontId="2" type="noConversion"/>
  </si>
  <si>
    <t>쇠고기, 대두, 우유, 밀</t>
    <phoneticPr fontId="2" type="noConversion"/>
  </si>
  <si>
    <t>식품유형</t>
    <phoneticPr fontId="2" type="noConversion"/>
  </si>
  <si>
    <t xml:space="preserve">복합조미식품 </t>
    <phoneticPr fontId="2" type="noConversion"/>
  </si>
  <si>
    <t>품목제조보고번호</t>
    <phoneticPr fontId="2" type="noConversion"/>
  </si>
  <si>
    <t>OOOOOOOOOOOO(아직 미신고 상태)</t>
    <phoneticPr fontId="2" type="noConversion"/>
  </si>
  <si>
    <t>포장량(g)</t>
    <phoneticPr fontId="2" type="noConversion"/>
  </si>
  <si>
    <t>구성품 2: 닭갈비용 부재료</t>
    <phoneticPr fontId="2" type="noConversion"/>
  </si>
  <si>
    <t>대파</t>
    <phoneticPr fontId="2" type="noConversion"/>
  </si>
  <si>
    <t>양배추</t>
    <phoneticPr fontId="2" type="noConversion"/>
  </si>
  <si>
    <t>깻잎순</t>
    <phoneticPr fontId="2" type="noConversion"/>
  </si>
  <si>
    <t>쌀떡</t>
    <phoneticPr fontId="2" type="noConversion"/>
  </si>
  <si>
    <t>고구마</t>
    <phoneticPr fontId="2" type="noConversion"/>
  </si>
  <si>
    <t>대파(국산), 양배추(국산), 쌀떡(쌀:국산), 고구마(국산), 깻잎순(국산)</t>
    <phoneticPr fontId="2" type="noConversion"/>
  </si>
  <si>
    <t>품목신고 필요여부 확인 부탁드립니다.</t>
    <phoneticPr fontId="2" type="noConversion"/>
  </si>
  <si>
    <t>완제품: 청양식 닭갈비 밀키트</t>
    <phoneticPr fontId="2" type="noConversion"/>
  </si>
  <si>
    <t>닭정육</t>
    <phoneticPr fontId="2" type="noConversion"/>
  </si>
  <si>
    <t>즉석조리식품</t>
    <phoneticPr fontId="2" type="noConversion"/>
  </si>
  <si>
    <t>보관방법</t>
    <phoneticPr fontId="2" type="noConversion"/>
  </si>
  <si>
    <t>냉장보관 (0~10℃)</t>
    <phoneticPr fontId="2" type="noConversion"/>
  </si>
  <si>
    <t>조리방법</t>
    <phoneticPr fontId="2" type="noConversion"/>
  </si>
  <si>
    <t>주의문구</t>
    <phoneticPr fontId="2" type="noConversion"/>
  </si>
  <si>
    <t>구성품 1: 육개장소스</t>
    <phoneticPr fontId="2" type="noConversion"/>
  </si>
  <si>
    <t>육개장소스</t>
    <phoneticPr fontId="2" type="noConversion"/>
  </si>
  <si>
    <t>정제수</t>
  </si>
  <si>
    <t>육개장다대기</t>
  </si>
  <si>
    <t>대흥 불간장</t>
  </si>
  <si>
    <t>로스티드치킨엑기스</t>
  </si>
  <si>
    <t>후추</t>
  </si>
  <si>
    <t>다시마엑기스 P-5</t>
  </si>
  <si>
    <t xml:space="preserve">생강분말 </t>
  </si>
  <si>
    <t>정제수, 육개장다대기 25%[식용우지(국산),고춧가루(중국산),정제우지(호주산),양파(국산),말토덱스트린],</t>
    <phoneticPr fontId="2" type="noConversion"/>
  </si>
  <si>
    <t>복합조미식품, 혼합간장, L-글루탐산나트륨(향미증진제), 정제소금(국산), 소스1, 흑후추분말, 마늘분말,</t>
    <phoneticPr fontId="2" type="noConversion"/>
  </si>
  <si>
    <t>소스2, 생강분말</t>
    <phoneticPr fontId="2" type="noConversion"/>
  </si>
  <si>
    <t>대두, 밀, 소고기, 닭고기, 조개류(가리비), 우유 함유</t>
    <phoneticPr fontId="2" type="noConversion"/>
  </si>
  <si>
    <t>소스</t>
    <phoneticPr fontId="2" type="noConversion"/>
  </si>
  <si>
    <t>구성품 2: 인생한탕 한우육수</t>
    <phoneticPr fontId="2" type="noConversion"/>
  </si>
  <si>
    <t>소잡뼈</t>
    <phoneticPr fontId="2" type="noConversion"/>
  </si>
  <si>
    <t>정제수</t>
    <phoneticPr fontId="2" type="noConversion"/>
  </si>
  <si>
    <t>소잡뼈(국산) 25%, 정제수</t>
    <phoneticPr fontId="2" type="noConversion"/>
  </si>
  <si>
    <t>소고기</t>
    <phoneticPr fontId="2" type="noConversion"/>
  </si>
  <si>
    <t>식육추출가공품(멸균제품)</t>
    <phoneticPr fontId="2" type="noConversion"/>
  </si>
  <si>
    <t>제조원</t>
    <phoneticPr fontId="2" type="noConversion"/>
  </si>
  <si>
    <t>㈜청정 / 충북 충주시 금가면 강수로 56</t>
    <phoneticPr fontId="2" type="noConversion"/>
  </si>
  <si>
    <t>실온보관(1~35 ℃)</t>
    <phoneticPr fontId="2" type="noConversion"/>
  </si>
  <si>
    <t>구성품 3: 한우 정육</t>
    <phoneticPr fontId="2" type="noConversion"/>
  </si>
  <si>
    <t>한우</t>
    <phoneticPr fontId="2" type="noConversion"/>
  </si>
  <si>
    <t>한우(국산)</t>
    <phoneticPr fontId="2" type="noConversion"/>
  </si>
  <si>
    <t>구성품 4: 육개장용 야채</t>
    <phoneticPr fontId="2" type="noConversion"/>
  </si>
  <si>
    <t>무</t>
    <phoneticPr fontId="2" type="noConversion"/>
  </si>
  <si>
    <t>느타리버섯</t>
    <phoneticPr fontId="2" type="noConversion"/>
  </si>
  <si>
    <t>대파(국산), 무(국산), 느타리버섯(국산)</t>
    <phoneticPr fontId="2" type="noConversion"/>
  </si>
  <si>
    <t>완제품: 청양식 한우육개장 밀키트</t>
    <phoneticPr fontId="2" type="noConversion"/>
  </si>
  <si>
    <t>한우정육</t>
    <phoneticPr fontId="2" type="noConversion"/>
  </si>
  <si>
    <t>사골육수</t>
    <phoneticPr fontId="2" type="noConversion"/>
  </si>
  <si>
    <t>완제품: 표고와사비장</t>
    <phoneticPr fontId="2" type="noConversion"/>
  </si>
  <si>
    <t>표고버섯</t>
  </si>
  <si>
    <t>불간장</t>
  </si>
  <si>
    <t>생와사비</t>
    <phoneticPr fontId="2" type="noConversion"/>
  </si>
  <si>
    <t>다시마엑기스</t>
  </si>
  <si>
    <t>가쓰오엑기스</t>
  </si>
  <si>
    <t>핵산 I+G</t>
  </si>
  <si>
    <t>향신료조제품</t>
    <phoneticPr fontId="2" type="noConversion"/>
  </si>
  <si>
    <t>제공량(%)</t>
    <phoneticPr fontId="2" type="noConversion"/>
  </si>
  <si>
    <t>고사리</t>
  </si>
  <si>
    <t>고사리</t>
    <phoneticPr fontId="2" type="noConversion"/>
  </si>
  <si>
    <t>대파</t>
  </si>
  <si>
    <t>무</t>
  </si>
  <si>
    <t>느타리버섯</t>
  </si>
  <si>
    <t>한우정육</t>
  </si>
  <si>
    <t>사골육수</t>
  </si>
  <si>
    <t>정제소금, 소스1, 흑후추분말, 마늘분말, 소스2, 생강분말</t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</si>
  <si>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무(국산), 느타리버섯(국산), 고사리(국산),</t>
    </r>
    <r>
      <rPr>
        <sz val="11"/>
        <color theme="1"/>
        <rFont val="맑은 고딕"/>
        <family val="2"/>
        <charset val="129"/>
        <scheme val="minor"/>
      </rPr>
      <t xml:space="preserve"> 복합조미식품, 혼합간장, L-글루탐산나트륨(향미증진제), </t>
    </r>
    <phoneticPr fontId="2" type="noConversion"/>
  </si>
  <si>
    <t>소비기한</t>
    <phoneticPr fontId="2" type="noConversion"/>
  </si>
  <si>
    <t>제조일로부터 7일</t>
    <phoneticPr fontId="2" type="noConversion"/>
  </si>
  <si>
    <t>제품명</t>
    <phoneticPr fontId="2" type="noConversion"/>
  </si>
  <si>
    <t>청양식 한우육개장 밀키트</t>
    <phoneticPr fontId="2" type="noConversion"/>
  </si>
  <si>
    <t>품목보고 레시피</t>
    <phoneticPr fontId="2" type="noConversion"/>
  </si>
  <si>
    <t>야채는 세척하여 조리하시기 바랍니다.</t>
    <phoneticPr fontId="2" type="noConversion"/>
  </si>
  <si>
    <t>모든 구성품을 냄비에 넣고 충분히 가열조리하여 섭취하시면 됩니다.</t>
    <phoneticPr fontId="2" type="noConversion"/>
  </si>
  <si>
    <t>본 제품은 알류, 메밀, 땅콩, 고등어, 게, 새우, 돼지고기, 복숭아, 토마토, 아황산류, 호두, 잣, 오징어를 사용한 제품과 같은 제조시설에서 제조하고 있습니다.</t>
    <phoneticPr fontId="2" type="noConversion"/>
  </si>
  <si>
    <t>제품 구입 후 바로 냉장보관 해주시고 개봉한 제품은 변질의 우려가 있으니 즉시 섭취하시기 바랍니다.</t>
    <phoneticPr fontId="2" type="noConversion"/>
  </si>
  <si>
    <t>제품에 포함된 채소 및 버섯류는 조리 전 흐르는 물에 깨끗이 씻어 조리하십시오</t>
    <phoneticPr fontId="2" type="noConversion"/>
  </si>
  <si>
    <t>고기 일부에 뼈가 혼합되었을 수 있으니 섭취 시 주의하십시오.</t>
    <phoneticPr fontId="2" type="noConversion"/>
  </si>
  <si>
    <t>본 제품은 소비자 분쟁해결기준에 의거 교환 또는 보상받을 수 있습니다.</t>
    <phoneticPr fontId="2" type="noConversion"/>
  </si>
  <si>
    <t>부정불량식품 신고는 국번없이 1399</t>
    <phoneticPr fontId="2" type="noConversion"/>
  </si>
  <si>
    <t>사용 후 포장재는 반드시 분리배출을 하여 주십시오.</t>
    <phoneticPr fontId="2" type="noConversion"/>
  </si>
  <si>
    <t>제조원</t>
    <phoneticPr fontId="2" type="noConversion"/>
  </si>
  <si>
    <t>반품 및 교환장소</t>
    <phoneticPr fontId="2" type="noConversion"/>
  </si>
  <si>
    <t>구입처 및 판매원</t>
    <phoneticPr fontId="2" type="noConversion"/>
  </si>
  <si>
    <t>포장재질</t>
    <phoneticPr fontId="2" type="noConversion"/>
  </si>
  <si>
    <t>폴리에틸렌(내포장재)</t>
    <phoneticPr fontId="2" type="noConversion"/>
  </si>
  <si>
    <t>그로스피크에프앤씨(010-3957-0600) / 충남 천안시 서북구 천안대로 1223-24, 산학협력관 211~213호</t>
    <phoneticPr fontId="2" type="noConversion"/>
  </si>
  <si>
    <t>제품에 포함된 채소는 조리 전 흐르는 물에 깨끗이 씻어 조리하십시오</t>
    <phoneticPr fontId="2" type="noConversion"/>
  </si>
  <si>
    <t>본 제품은 알류, 메밀, 땅콩, 고등어, 게, 새우, 돼지고기, 복숭아, 토마토, 아황산류, 호두, 잣, 오징어, 조개류(굴, 전복, 홍합), 닭고기를 사용한 제품과 같은 제조시설에서 제조하고 있습니다.</t>
    <phoneticPr fontId="2" type="noConversion"/>
  </si>
  <si>
    <t xml:space="preserve"> 팬에 약간의 식용유를 넣고 달군 후 모든 구성품을 충분히 가열조리하여 섭취하시면 됩니다.</t>
    <phoneticPr fontId="2" type="noConversion"/>
  </si>
  <si>
    <t>L-글루탐산나트륨(향미증진제), 마늘분말, 양파분말, 카레분말, 생강분말, 흑후추분말</t>
    <phoneticPr fontId="2" type="noConversion"/>
  </si>
  <si>
    <t>청양식 닭갈비 밀키트</t>
    <phoneticPr fontId="2" type="noConversion"/>
  </si>
  <si>
    <t>떡</t>
    <phoneticPr fontId="2" type="noConversion"/>
  </si>
  <si>
    <t>깻잎</t>
    <phoneticPr fontId="2" type="noConversion"/>
  </si>
  <si>
    <t>고구마</t>
  </si>
  <si>
    <t>깻잎</t>
  </si>
  <si>
    <t>떡</t>
  </si>
  <si>
    <t>백설탕</t>
  </si>
  <si>
    <t>양배추</t>
  </si>
  <si>
    <t>닭정육</t>
  </si>
  <si>
    <t>품목보고 레시피</t>
    <phoneticPr fontId="2" type="noConversion"/>
  </si>
  <si>
    <r>
      <t xml:space="preserve">고춧가루, </t>
    </r>
    <r>
      <rPr>
        <b/>
        <sz val="12"/>
        <color theme="1"/>
        <rFont val="맑은 고딕"/>
        <family val="3"/>
        <charset val="129"/>
        <scheme val="minor"/>
      </rPr>
      <t>깻잎(국산), 고구마(국산)</t>
    </r>
    <r>
      <rPr>
        <sz val="11"/>
        <color theme="1"/>
        <rFont val="맑은 고딕"/>
        <family val="2"/>
        <charset val="129"/>
        <scheme val="minor"/>
      </rPr>
      <t>, 복합조미식품1, 복합조미식품2, 옥수수전분, 정제소금, 식물성크림,</t>
    </r>
    <phoneticPr fontId="2" type="noConversion"/>
  </si>
  <si>
    <t>조리 시 화상 및 화재에 주의하십시오</t>
    <phoneticPr fontId="2" type="noConversion"/>
  </si>
  <si>
    <t>각종 육류나 회에 곁들여서 드시면 좋습니다.</t>
    <phoneticPr fontId="2" type="noConversion"/>
  </si>
  <si>
    <t>본 제품은 알류, 메밀, 땅콩, 고등어, 게, 새우, 돼지고기, 복숭아, 토마토, 아황산류, 호두, 잣, 오징어, 조개류(굴, 전복, 홍합)를 사용한 제품과 같은 제조시설에서 제조하고 있습니다.</t>
    <phoneticPr fontId="2" type="noConversion"/>
  </si>
  <si>
    <t>제품 구입 후 바로 냉장보관 해주시고 개봉한 제품은 변질의 우려가 있으니 빠른 시일 내에 섭취하시기 바랍니다.</t>
    <phoneticPr fontId="2" type="noConversion"/>
  </si>
  <si>
    <t>표고와사비장</t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</si>
  <si>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표고버섯 60%(국산)</t>
    </r>
    <r>
      <rPr>
        <sz val="11"/>
        <color theme="1"/>
        <rFont val="맑은 고딕"/>
        <family val="2"/>
        <charset val="129"/>
        <scheme val="minor"/>
      </rPr>
      <t>, 혼합간장[아미노산원액</t>
    </r>
    <r>
      <rPr>
        <b/>
        <sz val="12"/>
        <color theme="1"/>
        <rFont val="맑은 고딕"/>
        <family val="3"/>
        <charset val="129"/>
        <scheme val="minor"/>
      </rPr>
      <t>(탈지대두:인도산),양조간장원액(탈지대두:인도산),천일염(호주산)</t>
    </r>
    <r>
      <rPr>
        <sz val="11"/>
        <color theme="1"/>
        <rFont val="맑은 고딕"/>
        <family val="2"/>
        <charset val="129"/>
        <scheme val="minor"/>
      </rPr>
      <t>,백설탕,주정],</t>
    </r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</si>
  <si>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생와사비 5%[고추냉이 80%(중국산)</t>
    </r>
    <r>
      <rPr>
        <sz val="11"/>
        <color theme="1"/>
        <rFont val="맑은 고딕"/>
        <family val="2"/>
        <charset val="129"/>
        <scheme val="minor"/>
      </rPr>
      <t>,서양고추냉이, 유당, D-솔비톨, 식물성유지], 소스1, 소스2, 소스3, 5'-리보뉴클레오티드이나트륨(향미증진제)</t>
    </r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</si>
  <si>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닭정육 53.20%(닭: 국산), 양배추(국산), 대파(국산)</t>
    </r>
    <r>
      <rPr>
        <sz val="11"/>
        <color theme="1"/>
        <rFont val="맑은 고딕"/>
        <family val="2"/>
        <charset val="129"/>
        <scheme val="minor"/>
      </rPr>
      <t>, 백설탕, 떡[</t>
    </r>
    <r>
      <rPr>
        <b/>
        <sz val="12"/>
        <color theme="1"/>
        <rFont val="맑은 고딕"/>
        <family val="3"/>
        <charset val="129"/>
        <scheme val="minor"/>
      </rPr>
      <t>쌀(국산), 정제소금(국내산)</t>
    </r>
    <r>
      <rPr>
        <sz val="11"/>
        <color theme="1"/>
        <rFont val="맑은 고딕"/>
        <family val="2"/>
        <charset val="129"/>
        <scheme val="minor"/>
      </rPr>
      <t>, 옥배유],</t>
    </r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</si>
  <si>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인생한탕 한우육수 44.20%(소잡뼈: 국산)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2"/>
        <color theme="1"/>
        <rFont val="맑은 고딕"/>
        <family val="3"/>
        <charset val="129"/>
        <scheme val="minor"/>
      </rPr>
      <t>대파(국산)</t>
    </r>
    <r>
      <rPr>
        <sz val="11"/>
        <color theme="1"/>
        <rFont val="맑은 고딕"/>
        <family val="2"/>
        <charset val="129"/>
        <scheme val="minor"/>
      </rPr>
      <t xml:space="preserve">, 정제수, </t>
    </r>
    <r>
      <rPr>
        <b/>
        <sz val="12"/>
        <color theme="1"/>
        <rFont val="맑은 고딕"/>
        <family val="3"/>
        <charset val="129"/>
        <scheme val="minor"/>
      </rPr>
      <t>한우정육 6.63%(한우: 국산)</t>
    </r>
    <r>
      <rPr>
        <sz val="11"/>
        <color theme="1"/>
        <rFont val="맑은 고딕"/>
        <family val="2"/>
        <charset val="129"/>
        <scheme val="minor"/>
      </rPr>
      <t xml:space="preserve">, </t>
    </r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</si>
  <si>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육개장다대기 5.53%[식용우지(국산)</t>
    </r>
    <r>
      <rPr>
        <sz val="11"/>
        <color theme="1"/>
        <rFont val="맑은 고딕"/>
        <family val="2"/>
        <charset val="129"/>
        <scheme val="minor"/>
      </rPr>
      <t>,고춧가루, 정제우지,</t>
    </r>
    <r>
      <rPr>
        <b/>
        <sz val="12"/>
        <color theme="1"/>
        <rFont val="맑은 고딕"/>
        <family val="3"/>
        <charset val="129"/>
        <scheme val="minor"/>
      </rPr>
      <t>양파(국산)</t>
    </r>
    <r>
      <rPr>
        <sz val="11"/>
        <color theme="1"/>
        <rFont val="맑은 고딕"/>
        <family val="2"/>
        <charset val="129"/>
        <scheme val="minor"/>
      </rPr>
      <t>,말토덱스트린],</t>
    </r>
    <phoneticPr fontId="2" type="noConversion"/>
  </si>
  <si>
    <t>청양식 한우불고기 밀키트</t>
    <phoneticPr fontId="2" type="noConversion"/>
  </si>
  <si>
    <t>마늘(국내산), 물엿, 백설탕, 양파(국내산), L-글루탐산나트륨(향미증진제), 흑후추분말, 소스]</t>
    <phoneticPr fontId="2" type="noConversion"/>
  </si>
  <si>
    <t>쇠고기, 대두, 우유, 밀, 토마토, 닭고기, 돼지고기 함유</t>
    <phoneticPr fontId="2" type="noConversion"/>
  </si>
  <si>
    <t>구성품 1</t>
    <phoneticPr fontId="2" type="noConversion"/>
  </si>
  <si>
    <t>구성품 2</t>
    <phoneticPr fontId="2" type="noConversion"/>
  </si>
  <si>
    <t>한우불고기용 채소</t>
    <phoneticPr fontId="2" type="noConversion"/>
  </si>
  <si>
    <t>표고버섯(국내산), 새송이버섯(국내산), 청경채(국내산)</t>
    <phoneticPr fontId="2" type="noConversion"/>
  </si>
  <si>
    <t>양념육/비가열제품</t>
    <phoneticPr fontId="2" type="noConversion"/>
  </si>
  <si>
    <t>농업회사법인 옐로우팜주식회사 / 충남 공주시 신풍면 충의로 2466-18</t>
    <phoneticPr fontId="2" type="noConversion"/>
  </si>
  <si>
    <t>제조일로부터 14일</t>
    <phoneticPr fontId="2" type="noConversion"/>
  </si>
  <si>
    <t>청양군농산물가공협동조합 / 충남 청양군 대치면 칠갑산로 426-32(농산물종합가공센터)</t>
    <phoneticPr fontId="2" type="noConversion"/>
  </si>
  <si>
    <r>
      <t xml:space="preserve">한우(설도,국내산) 60%, </t>
    </r>
    <r>
      <rPr>
        <sz val="11"/>
        <color theme="1"/>
        <rFont val="맑은 고딕"/>
        <family val="3"/>
        <charset val="129"/>
        <scheme val="minor"/>
      </rPr>
      <t>소불고기소스 40%[혼합간장</t>
    </r>
    <r>
      <rPr>
        <b/>
        <sz val="12"/>
        <color theme="1"/>
        <rFont val="맑은 고딕"/>
        <family val="3"/>
        <charset val="129"/>
        <scheme val="minor"/>
      </rPr>
      <t>{대두:외국산(인도,미국,중국)},</t>
    </r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</si>
  <si>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마늘(국내산)</t>
    </r>
    <r>
      <rPr>
        <sz val="11"/>
        <color theme="1"/>
        <rFont val="맑은 고딕"/>
        <family val="2"/>
        <charset val="129"/>
        <scheme val="minor"/>
      </rPr>
      <t xml:space="preserve">, 물엿, 백설탕, </t>
    </r>
    <r>
      <rPr>
        <b/>
        <sz val="12"/>
        <color theme="1"/>
        <rFont val="맑은 고딕"/>
        <family val="3"/>
        <charset val="129"/>
        <scheme val="minor"/>
      </rPr>
      <t>양파(국내산)</t>
    </r>
    <r>
      <rPr>
        <sz val="11"/>
        <color theme="1"/>
        <rFont val="맑은 고딕"/>
        <family val="2"/>
        <charset val="129"/>
        <scheme val="minor"/>
      </rPr>
      <t>, L-글루탐산나트륨(향미증진제), 흑후추분말, 소스]</t>
    </r>
    <phoneticPr fontId="2" type="noConversion"/>
  </si>
  <si>
    <t xml:space="preserve">전골 냄비를 달군 후 청양식 한우불고기와 종이컵 분량의 물 2컵을 넣은 후 중불에서 끓기 시작하면 </t>
    <phoneticPr fontId="2" type="noConversion"/>
  </si>
  <si>
    <t>미리 세척해둔 한우불고기용 채소를 넣어 완전히 익혀 드시면 됩니다.</t>
    <phoneticPr fontId="2" type="noConversion"/>
  </si>
  <si>
    <t>청양식 된장찌개 밀키트</t>
    <phoneticPr fontId="2" type="noConversion"/>
  </si>
  <si>
    <t xml:space="preserve"> 냄비에 모든 구성품을 넣고 종이컵 분량의 물 2컵을 넣은 후 충분히 가열조리하여 섭취하시면 됩니다.</t>
    <phoneticPr fontId="2" type="noConversion"/>
  </si>
  <si>
    <t>표고버섯(국내산), 고추(국내산)</t>
    <phoneticPr fontId="2" type="noConversion"/>
  </si>
  <si>
    <r>
      <t>소맥분,정제소금,밀쌀}, 혼합해물엑기스</t>
    </r>
    <r>
      <rPr>
        <b/>
        <sz val="12"/>
        <color theme="1"/>
        <rFont val="맑은 고딕"/>
        <family val="3"/>
        <charset val="129"/>
        <scheme val="minor"/>
      </rPr>
      <t>(오징어:국산)</t>
    </r>
    <r>
      <rPr>
        <sz val="11"/>
        <color theme="1"/>
        <rFont val="맑은 고딕"/>
        <family val="2"/>
        <charset val="129"/>
        <scheme val="minor"/>
      </rPr>
      <t>, 말토덱스트린, 조개밑국물, 한우사골농축액</t>
    </r>
    <r>
      <rPr>
        <b/>
        <sz val="12"/>
        <color theme="1"/>
        <rFont val="맑은 고딕"/>
        <family val="3"/>
        <charset val="129"/>
        <scheme val="minor"/>
      </rPr>
      <t>(사골:국내산)</t>
    </r>
    <r>
      <rPr>
        <sz val="11"/>
        <color theme="1"/>
        <rFont val="맑은 고딕"/>
        <family val="2"/>
        <charset val="129"/>
        <scheme val="minor"/>
      </rPr>
      <t>],</t>
    </r>
    <phoneticPr fontId="2" type="noConversion"/>
  </si>
  <si>
    <t>쇠고기, 대두, 우유, 밀, 오징어, 조개류(굴,홍합 포함)</t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</si>
  <si>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두부 54.54%[(대두:국산),</t>
    </r>
    <r>
      <rPr>
        <sz val="11"/>
        <color theme="1"/>
        <rFont val="맑은 고딕"/>
        <family val="3"/>
        <charset val="129"/>
        <scheme val="minor"/>
      </rPr>
      <t>조제해수염화마그네슘,현미유,올리브유], 된장찌개양념 23.63%[{된장</t>
    </r>
    <r>
      <rPr>
        <b/>
        <sz val="12"/>
        <color theme="1"/>
        <rFont val="맑은 고딕"/>
        <family val="3"/>
        <charset val="129"/>
        <scheme val="minor"/>
      </rPr>
      <t xml:space="preserve">(대두:국산), </t>
    </r>
    <phoneticPr fontId="2" type="noConversion"/>
  </si>
  <si>
    <t>청양식 두부전골 밀키트</t>
    <phoneticPr fontId="2" type="noConversion"/>
  </si>
  <si>
    <t>육수소스[정제수,발효식초{주정,사과농축액(사과:국산),발효영양원,합성향료(사과에센스)],</t>
    <phoneticPr fontId="2" type="noConversion"/>
  </si>
  <si>
    <r>
      <t xml:space="preserve">조제해수염화마그네슘,현미유,올리브유], </t>
    </r>
    <r>
      <rPr>
        <b/>
        <sz val="12"/>
        <color theme="1"/>
        <rFont val="맑은 고딕"/>
        <family val="3"/>
        <charset val="129"/>
        <scheme val="minor"/>
      </rPr>
      <t>표고버섯(국내산), 새송이버섯(국내산), 느타리버섯(국내산), 대파(국내산)</t>
    </r>
    <phoneticPr fontId="2" type="noConversion"/>
  </si>
  <si>
    <r>
      <t>백설탕, 조미액젓{까나리액젓</t>
    </r>
    <r>
      <rPr>
        <b/>
        <sz val="12"/>
        <color theme="1"/>
        <rFont val="맑은 고딕"/>
        <family val="3"/>
        <charset val="129"/>
        <scheme val="minor"/>
      </rPr>
      <t>(까나리:국산)</t>
    </r>
    <r>
      <rPr>
        <sz val="11"/>
        <color theme="1"/>
        <rFont val="맑은 고딕"/>
        <family val="2"/>
        <charset val="129"/>
        <scheme val="minor"/>
      </rPr>
      <t>, 천일염, L-글루탐산나트륨(향미증진제)], 두부 30%[</t>
    </r>
    <r>
      <rPr>
        <b/>
        <sz val="12"/>
        <color theme="1"/>
        <rFont val="맑은 고딕"/>
        <family val="3"/>
        <charset val="129"/>
        <scheme val="minor"/>
      </rPr>
      <t>(대두:국산),</t>
    </r>
    <phoneticPr fontId="2" type="noConversion"/>
  </si>
  <si>
    <t>쇠고기, 대두, 우유, 밀, 새우, 조개류(굴,홍합 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</si>
</sst>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90</xdr:row>
      <xdr:rowOff>0</xdr:rowOff>
    </xdr:from>
    <xdr:ext cx="400748" cy="400749"/>
    <xdr:pic>
      <xdr:nvPicPr>
        <xdr:cNvPr id="2" name="Picture 1">
          <a:extLst>
            <a:ext uri="{FF2B5EF4-FFF2-40B4-BE49-F238E27FC236}">
              <a16:creationId xmlns:a16="http://schemas.microsoft.com/office/drawing/2014/main" id="{9EF9F089-32E5-4C1B-9138-5365434B0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19716750"/>
          <a:ext cx="400748" cy="400749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8</xdr:col>
      <xdr:colOff>0</xdr:colOff>
      <xdr:row>90</xdr:row>
      <xdr:rowOff>0</xdr:rowOff>
    </xdr:from>
    <xdr:ext cx="400748" cy="477520"/>
    <xdr:pic>
      <xdr:nvPicPr>
        <xdr:cNvPr id="3" name="Picture 3">
          <a:extLst>
            <a:ext uri="{FF2B5EF4-FFF2-40B4-BE49-F238E27FC236}">
              <a16:creationId xmlns:a16="http://schemas.microsoft.com/office/drawing/2014/main" id="{A426C678-49FC-4684-B195-ED1C092B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9716750"/>
          <a:ext cx="400748" cy="477520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114</xdr:row>
      <xdr:rowOff>0</xdr:rowOff>
    </xdr:from>
    <xdr:to>
      <xdr:col>7</xdr:col>
      <xdr:colOff>400748</xdr:colOff>
      <xdr:row>115</xdr:row>
      <xdr:rowOff>181674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A1D59-F3C0-D63D-DA01-33EDDF21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4517350"/>
          <a:ext cx="395986" cy="3959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400748</xdr:colOff>
      <xdr:row>116</xdr:row>
      <xdr:rowOff>39370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12700C5-9658-37EC-3BFF-9E8F8B12A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8675" y="24517350"/>
          <a:ext cx="395986" cy="4679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23</xdr:row>
      <xdr:rowOff>0</xdr:rowOff>
    </xdr:from>
    <xdr:to>
      <xdr:col>7</xdr:col>
      <xdr:colOff>400748</xdr:colOff>
      <xdr:row>24</xdr:row>
      <xdr:rowOff>181673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1282FC79-116B-B820-4F8A-17658614D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5257800"/>
          <a:ext cx="395986" cy="39598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98</xdr:row>
      <xdr:rowOff>0</xdr:rowOff>
    </xdr:from>
    <xdr:ext cx="400748" cy="400749"/>
    <xdr:pic>
      <xdr:nvPicPr>
        <xdr:cNvPr id="2" name="Picture 1">
          <a:extLst>
            <a:ext uri="{FF2B5EF4-FFF2-40B4-BE49-F238E27FC236}">
              <a16:creationId xmlns:a16="http://schemas.microsoft.com/office/drawing/2014/main" id="{82132173-50D8-4585-95F7-6EE5B54C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238" y="4557713"/>
          <a:ext cx="400748" cy="400749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8</xdr:col>
      <xdr:colOff>0</xdr:colOff>
      <xdr:row>98</xdr:row>
      <xdr:rowOff>0</xdr:rowOff>
    </xdr:from>
    <xdr:ext cx="400748" cy="477520"/>
    <xdr:pic>
      <xdr:nvPicPr>
        <xdr:cNvPr id="3" name="Picture 3">
          <a:extLst>
            <a:ext uri="{FF2B5EF4-FFF2-40B4-BE49-F238E27FC236}">
              <a16:creationId xmlns:a16="http://schemas.microsoft.com/office/drawing/2014/main" id="{D5008B78-8289-4563-AD8E-29BA3696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1038" y="4557713"/>
          <a:ext cx="400748" cy="477520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88</xdr:row>
      <xdr:rowOff>0</xdr:rowOff>
    </xdr:from>
    <xdr:ext cx="400748" cy="400749"/>
    <xdr:pic>
      <xdr:nvPicPr>
        <xdr:cNvPr id="2" name="Picture 1">
          <a:extLst>
            <a:ext uri="{FF2B5EF4-FFF2-40B4-BE49-F238E27FC236}">
              <a16:creationId xmlns:a16="http://schemas.microsoft.com/office/drawing/2014/main" id="{67E43380-E11B-4E97-AC71-22A87AF84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238" y="4557713"/>
          <a:ext cx="400748" cy="400749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8</xdr:col>
      <xdr:colOff>0</xdr:colOff>
      <xdr:row>88</xdr:row>
      <xdr:rowOff>0</xdr:rowOff>
    </xdr:from>
    <xdr:ext cx="400748" cy="477520"/>
    <xdr:pic>
      <xdr:nvPicPr>
        <xdr:cNvPr id="3" name="Picture 3">
          <a:extLst>
            <a:ext uri="{FF2B5EF4-FFF2-40B4-BE49-F238E27FC236}">
              <a16:creationId xmlns:a16="http://schemas.microsoft.com/office/drawing/2014/main" id="{8F541E7C-5D0F-4649-A9F4-1998AFD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1038" y="4557713"/>
          <a:ext cx="400748" cy="477520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89</xdr:row>
      <xdr:rowOff>0</xdr:rowOff>
    </xdr:from>
    <xdr:ext cx="400748" cy="400749"/>
    <xdr:pic>
      <xdr:nvPicPr>
        <xdr:cNvPr id="2" name="Picture 1">
          <a:extLst>
            <a:ext uri="{FF2B5EF4-FFF2-40B4-BE49-F238E27FC236}">
              <a16:creationId xmlns:a16="http://schemas.microsoft.com/office/drawing/2014/main" id="{26DA12B4-364C-40BE-8DAC-09435C08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238" y="4157663"/>
          <a:ext cx="400748" cy="400749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8</xdr:col>
      <xdr:colOff>0</xdr:colOff>
      <xdr:row>89</xdr:row>
      <xdr:rowOff>0</xdr:rowOff>
    </xdr:from>
    <xdr:ext cx="400748" cy="477520"/>
    <xdr:pic>
      <xdr:nvPicPr>
        <xdr:cNvPr id="3" name="Picture 3">
          <a:extLst>
            <a:ext uri="{FF2B5EF4-FFF2-40B4-BE49-F238E27FC236}">
              <a16:creationId xmlns:a16="http://schemas.microsoft.com/office/drawing/2014/main" id="{0E9CAED0-B944-4637-893F-3AAD9690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1038" y="4157663"/>
          <a:ext cx="400748" cy="477520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5775-8080-4327-BF3C-D3DB105B05F5}">
  <dimension ref="A1:J94"/>
  <sheetViews>
    <sheetView topLeftCell="A70" workbookViewId="0">
      <selection activeCell="C79" sqref="C79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</cols>
  <sheetData>
    <row r="1" spans="1:4" hidden="1"/>
    <row r="2" spans="1:4" hidden="1">
      <c r="A2" s="10" t="s">
        <v>0</v>
      </c>
      <c r="B2" s="10"/>
      <c r="C2" s="10"/>
      <c r="D2" s="10"/>
    </row>
    <row r="3" spans="1:4" hidden="1">
      <c r="A3" s="1" t="s">
        <v>1</v>
      </c>
      <c r="B3" t="s">
        <v>2</v>
      </c>
      <c r="C3" t="s">
        <v>3</v>
      </c>
    </row>
    <row r="4" spans="1:4" hidden="1">
      <c r="A4" s="1">
        <v>1</v>
      </c>
      <c r="B4" t="s">
        <v>4</v>
      </c>
      <c r="C4" s="2" t="s">
        <v>5</v>
      </c>
      <c r="D4" t="s">
        <v>6</v>
      </c>
    </row>
    <row r="5" spans="1:4" hidden="1">
      <c r="A5" s="1">
        <v>2</v>
      </c>
      <c r="B5" t="s">
        <v>7</v>
      </c>
      <c r="C5" s="3">
        <v>48</v>
      </c>
      <c r="D5">
        <f t="shared" ref="D5:D18" si="0">C5/$C$19*$C$27</f>
        <v>33.6</v>
      </c>
    </row>
    <row r="6" spans="1:4" hidden="1">
      <c r="A6" s="1">
        <v>3</v>
      </c>
      <c r="B6" t="s">
        <v>8</v>
      </c>
      <c r="C6" s="3">
        <v>21.5</v>
      </c>
      <c r="D6">
        <f t="shared" si="0"/>
        <v>15.049999999999999</v>
      </c>
    </row>
    <row r="7" spans="1:4" hidden="1">
      <c r="A7" s="1">
        <v>4</v>
      </c>
      <c r="B7" t="s">
        <v>9</v>
      </c>
      <c r="C7" s="3">
        <v>8</v>
      </c>
      <c r="D7">
        <f t="shared" si="0"/>
        <v>5.6000000000000005</v>
      </c>
    </row>
    <row r="8" spans="1:4" hidden="1">
      <c r="A8" s="1">
        <v>5</v>
      </c>
      <c r="B8" t="s">
        <v>10</v>
      </c>
      <c r="C8" s="3">
        <v>5</v>
      </c>
      <c r="D8">
        <f t="shared" si="0"/>
        <v>3.5</v>
      </c>
    </row>
    <row r="9" spans="1:4" hidden="1">
      <c r="A9" s="1">
        <v>6</v>
      </c>
      <c r="B9" t="s">
        <v>11</v>
      </c>
      <c r="C9" s="3">
        <v>4</v>
      </c>
      <c r="D9">
        <f t="shared" si="0"/>
        <v>2.8000000000000003</v>
      </c>
    </row>
    <row r="10" spans="1:4" hidden="1">
      <c r="A10" s="1">
        <v>7</v>
      </c>
      <c r="B10" t="s">
        <v>12</v>
      </c>
      <c r="C10" s="3">
        <v>3</v>
      </c>
      <c r="D10">
        <f t="shared" si="0"/>
        <v>2.1</v>
      </c>
    </row>
    <row r="11" spans="1:4" hidden="1">
      <c r="A11" s="1">
        <v>8</v>
      </c>
      <c r="B11" t="s">
        <v>13</v>
      </c>
      <c r="C11" s="3">
        <v>2.5</v>
      </c>
      <c r="D11">
        <f t="shared" si="0"/>
        <v>1.75</v>
      </c>
    </row>
    <row r="12" spans="1:4" hidden="1">
      <c r="A12" s="1">
        <v>9</v>
      </c>
      <c r="B12" t="s">
        <v>14</v>
      </c>
      <c r="C12" s="3">
        <v>2</v>
      </c>
      <c r="D12">
        <f t="shared" si="0"/>
        <v>1.4000000000000001</v>
      </c>
    </row>
    <row r="13" spans="1:4" hidden="1">
      <c r="A13" s="1">
        <v>10</v>
      </c>
      <c r="B13" t="s">
        <v>15</v>
      </c>
      <c r="C13" s="3">
        <v>2</v>
      </c>
      <c r="D13">
        <f t="shared" si="0"/>
        <v>1.4000000000000001</v>
      </c>
    </row>
    <row r="14" spans="1:4" hidden="1">
      <c r="A14" s="1">
        <v>11</v>
      </c>
      <c r="B14" t="s">
        <v>16</v>
      </c>
      <c r="C14" s="3">
        <v>1</v>
      </c>
      <c r="D14">
        <f t="shared" si="0"/>
        <v>0.70000000000000007</v>
      </c>
    </row>
    <row r="15" spans="1:4" hidden="1">
      <c r="A15" s="1">
        <v>12</v>
      </c>
      <c r="B15" t="s">
        <v>17</v>
      </c>
      <c r="C15" s="3">
        <v>1</v>
      </c>
      <c r="D15">
        <f t="shared" si="0"/>
        <v>0.70000000000000007</v>
      </c>
    </row>
    <row r="16" spans="1:4" hidden="1">
      <c r="A16" s="1">
        <v>13</v>
      </c>
      <c r="B16" t="s">
        <v>18</v>
      </c>
      <c r="C16" s="3">
        <v>1</v>
      </c>
      <c r="D16">
        <f t="shared" si="0"/>
        <v>0.70000000000000007</v>
      </c>
    </row>
    <row r="17" spans="1:4" hidden="1">
      <c r="A17" s="1">
        <v>14</v>
      </c>
      <c r="B17" t="s">
        <v>19</v>
      </c>
      <c r="C17" s="3">
        <v>0.5</v>
      </c>
      <c r="D17">
        <f t="shared" si="0"/>
        <v>0.35000000000000003</v>
      </c>
    </row>
    <row r="18" spans="1:4" hidden="1">
      <c r="A18" s="1">
        <v>15</v>
      </c>
      <c r="B18" t="s">
        <v>20</v>
      </c>
      <c r="C18" s="3">
        <v>0.5</v>
      </c>
      <c r="D18">
        <f t="shared" si="0"/>
        <v>0.35000000000000003</v>
      </c>
    </row>
    <row r="19" spans="1:4" hidden="1">
      <c r="A19" s="9" t="s">
        <v>21</v>
      </c>
      <c r="B19" s="9"/>
      <c r="C19" s="3">
        <f>SUM(C5:C18)</f>
        <v>100</v>
      </c>
      <c r="D19" s="3">
        <f>SUM(D5:D18)</f>
        <v>70.000000000000014</v>
      </c>
    </row>
    <row r="20" spans="1:4" hidden="1"/>
    <row r="21" spans="1:4" hidden="1">
      <c r="B21" t="s">
        <v>22</v>
      </c>
      <c r="C21" t="s">
        <v>23</v>
      </c>
    </row>
    <row r="22" spans="1:4" hidden="1">
      <c r="C22" t="s">
        <v>24</v>
      </c>
    </row>
    <row r="23" spans="1:4" hidden="1"/>
    <row r="24" spans="1:4" hidden="1">
      <c r="B24" t="s">
        <v>25</v>
      </c>
      <c r="C24" t="s">
        <v>26</v>
      </c>
    </row>
    <row r="25" spans="1:4" hidden="1">
      <c r="B25" t="s">
        <v>27</v>
      </c>
      <c r="C25" t="s">
        <v>28</v>
      </c>
    </row>
    <row r="26" spans="1:4" hidden="1">
      <c r="B26" t="s">
        <v>29</v>
      </c>
      <c r="C26" t="s">
        <v>30</v>
      </c>
    </row>
    <row r="27" spans="1:4" hidden="1">
      <c r="B27" t="s">
        <v>31</v>
      </c>
      <c r="C27">
        <v>70</v>
      </c>
    </row>
    <row r="28" spans="1:4" hidden="1"/>
    <row r="29" spans="1:4" hidden="1"/>
    <row r="30" spans="1:4" hidden="1">
      <c r="A30" s="10" t="s">
        <v>32</v>
      </c>
      <c r="B30" s="10"/>
      <c r="C30" s="10"/>
      <c r="D30" s="10"/>
    </row>
    <row r="31" spans="1:4" hidden="1">
      <c r="A31" s="1" t="s">
        <v>1</v>
      </c>
      <c r="B31" t="s">
        <v>4</v>
      </c>
      <c r="C31" s="2" t="s">
        <v>5</v>
      </c>
      <c r="D31" t="s">
        <v>6</v>
      </c>
    </row>
    <row r="32" spans="1:4" hidden="1">
      <c r="A32" s="1">
        <v>1</v>
      </c>
      <c r="B32" t="s">
        <v>33</v>
      </c>
      <c r="C32">
        <v>30</v>
      </c>
      <c r="D32">
        <f>C32/$C$37*$C$45</f>
        <v>45</v>
      </c>
    </row>
    <row r="33" spans="1:10" hidden="1">
      <c r="A33" s="1">
        <v>2</v>
      </c>
      <c r="B33" t="s">
        <v>34</v>
      </c>
      <c r="C33">
        <v>30</v>
      </c>
      <c r="D33">
        <f>C33/$C$37*$C$45</f>
        <v>45</v>
      </c>
    </row>
    <row r="34" spans="1:10" hidden="1">
      <c r="A34" s="1">
        <v>3</v>
      </c>
      <c r="B34" t="s">
        <v>35</v>
      </c>
      <c r="C34">
        <v>10</v>
      </c>
      <c r="D34">
        <f>C34/$C$37*$C$45</f>
        <v>15</v>
      </c>
    </row>
    <row r="35" spans="1:10" hidden="1">
      <c r="A35" s="1">
        <v>4</v>
      </c>
      <c r="B35" t="s">
        <v>36</v>
      </c>
      <c r="C35">
        <v>20</v>
      </c>
      <c r="D35">
        <f>C35/$C$37*$C$45</f>
        <v>30</v>
      </c>
    </row>
    <row r="36" spans="1:10" hidden="1">
      <c r="A36" s="1">
        <v>5</v>
      </c>
      <c r="B36" t="s">
        <v>37</v>
      </c>
      <c r="C36">
        <v>10</v>
      </c>
      <c r="D36">
        <f>C36/$C$37*$C$45</f>
        <v>15</v>
      </c>
    </row>
    <row r="37" spans="1:10" hidden="1">
      <c r="A37" s="9" t="s">
        <v>21</v>
      </c>
      <c r="B37" s="9"/>
      <c r="C37">
        <f>SUM(C32:C36)</f>
        <v>100</v>
      </c>
      <c r="D37">
        <f>SUM(D32:D36)</f>
        <v>150</v>
      </c>
    </row>
    <row r="38" spans="1:10" hidden="1"/>
    <row r="39" spans="1:10" hidden="1">
      <c r="B39" t="s">
        <v>22</v>
      </c>
      <c r="C39" t="s">
        <v>38</v>
      </c>
    </row>
    <row r="40" spans="1:10" hidden="1"/>
    <row r="41" spans="1:10" hidden="1"/>
    <row r="42" spans="1:10" hidden="1">
      <c r="B42" t="s">
        <v>25</v>
      </c>
    </row>
    <row r="43" spans="1:10" hidden="1">
      <c r="B43" t="s">
        <v>27</v>
      </c>
      <c r="C43" s="4" t="s">
        <v>39</v>
      </c>
    </row>
    <row r="44" spans="1:10" hidden="1">
      <c r="B44" t="s">
        <v>29</v>
      </c>
      <c r="C44" t="s">
        <v>30</v>
      </c>
    </row>
    <row r="45" spans="1:10" hidden="1">
      <c r="B45" t="s">
        <v>31</v>
      </c>
      <c r="C45">
        <v>150</v>
      </c>
    </row>
    <row r="46" spans="1:10" hidden="1"/>
    <row r="47" spans="1:10" hidden="1">
      <c r="A47" s="10" t="s">
        <v>40</v>
      </c>
      <c r="B47" s="10"/>
      <c r="C47" s="10"/>
      <c r="D47" s="10"/>
    </row>
    <row r="48" spans="1:10" hidden="1">
      <c r="A48" s="1" t="s">
        <v>1</v>
      </c>
      <c r="B48" t="s">
        <v>4</v>
      </c>
      <c r="C48" s="2" t="s">
        <v>5</v>
      </c>
      <c r="D48" t="s">
        <v>6</v>
      </c>
      <c r="H48" s="10" t="s">
        <v>131</v>
      </c>
      <c r="I48" s="10"/>
      <c r="J48" s="10"/>
    </row>
    <row r="49" spans="1:9" hidden="1">
      <c r="A49" s="1">
        <v>1</v>
      </c>
      <c r="B49" t="s">
        <v>41</v>
      </c>
      <c r="C49" s="3">
        <f t="shared" ref="C49:C68" si="1">D49/$D$69*100</f>
        <v>53.191489361702125</v>
      </c>
      <c r="D49">
        <v>250</v>
      </c>
      <c r="H49" s="3">
        <v>53.2</v>
      </c>
      <c r="I49" t="s">
        <v>130</v>
      </c>
    </row>
    <row r="50" spans="1:9" hidden="1">
      <c r="A50" s="1">
        <v>2</v>
      </c>
      <c r="B50" t="s">
        <v>128</v>
      </c>
      <c r="C50" s="3">
        <f t="shared" si="1"/>
        <v>7.1489361702127647</v>
      </c>
      <c r="D50">
        <v>33.6</v>
      </c>
      <c r="H50" s="3">
        <v>9.5744680851063819</v>
      </c>
      <c r="I50" t="s">
        <v>129</v>
      </c>
    </row>
    <row r="51" spans="1:9" hidden="1">
      <c r="A51" s="1">
        <v>3</v>
      </c>
      <c r="B51" t="s">
        <v>8</v>
      </c>
      <c r="C51" s="3">
        <f t="shared" si="1"/>
        <v>3.2021276595744679</v>
      </c>
      <c r="D51">
        <v>15.049999999999999</v>
      </c>
      <c r="H51" s="3">
        <v>9.5744680851063819</v>
      </c>
      <c r="I51" t="s">
        <v>91</v>
      </c>
    </row>
    <row r="52" spans="1:9" hidden="1">
      <c r="A52" s="1">
        <v>4</v>
      </c>
      <c r="B52" t="s">
        <v>9</v>
      </c>
      <c r="C52" s="3">
        <f t="shared" si="1"/>
        <v>1.1914893617021276</v>
      </c>
      <c r="D52">
        <v>5.6000000000000005</v>
      </c>
      <c r="H52" s="3">
        <v>7.1489361702127647</v>
      </c>
      <c r="I52" t="s">
        <v>128</v>
      </c>
    </row>
    <row r="53" spans="1:9" hidden="1">
      <c r="A53" s="1">
        <v>5</v>
      </c>
      <c r="B53" t="s">
        <v>10</v>
      </c>
      <c r="C53" s="3">
        <f t="shared" si="1"/>
        <v>0.74468085106382975</v>
      </c>
      <c r="D53">
        <v>3.5</v>
      </c>
      <c r="H53" s="3">
        <v>6.3829787234042552</v>
      </c>
      <c r="I53" t="s">
        <v>127</v>
      </c>
    </row>
    <row r="54" spans="1:9" hidden="1">
      <c r="A54" s="1">
        <v>6</v>
      </c>
      <c r="B54" t="s">
        <v>11</v>
      </c>
      <c r="C54" s="3">
        <f t="shared" si="1"/>
        <v>0.5957446808510638</v>
      </c>
      <c r="D54">
        <v>2.8000000000000003</v>
      </c>
      <c r="H54" s="3">
        <v>3.2021276595744679</v>
      </c>
      <c r="I54" t="s">
        <v>8</v>
      </c>
    </row>
    <row r="55" spans="1:9" hidden="1">
      <c r="A55" s="1">
        <v>7</v>
      </c>
      <c r="B55" t="s">
        <v>12</v>
      </c>
      <c r="C55" s="3">
        <f t="shared" si="1"/>
        <v>0.4468085106382978</v>
      </c>
      <c r="D55">
        <v>2.1</v>
      </c>
      <c r="H55" s="3">
        <v>3.1914893617021276</v>
      </c>
      <c r="I55" t="s">
        <v>126</v>
      </c>
    </row>
    <row r="56" spans="1:9" hidden="1">
      <c r="A56" s="1">
        <v>8</v>
      </c>
      <c r="B56" t="s">
        <v>13</v>
      </c>
      <c r="C56" s="3">
        <f t="shared" si="1"/>
        <v>0.37234042553191488</v>
      </c>
      <c r="D56">
        <v>1.75</v>
      </c>
      <c r="H56" s="3">
        <v>3.1914893617021276</v>
      </c>
      <c r="I56" t="s">
        <v>125</v>
      </c>
    </row>
    <row r="57" spans="1:9" hidden="1">
      <c r="A57" s="1">
        <v>9</v>
      </c>
      <c r="B57" t="s">
        <v>14</v>
      </c>
      <c r="C57" s="3">
        <f t="shared" si="1"/>
        <v>0.2978723404255319</v>
      </c>
      <c r="D57">
        <v>1.4000000000000001</v>
      </c>
      <c r="H57" s="3">
        <v>1.1914893617021276</v>
      </c>
      <c r="I57" t="s">
        <v>9</v>
      </c>
    </row>
    <row r="58" spans="1:9" hidden="1">
      <c r="A58" s="1">
        <v>10</v>
      </c>
      <c r="B58" t="s">
        <v>15</v>
      </c>
      <c r="C58" s="3">
        <f t="shared" si="1"/>
        <v>0.2978723404255319</v>
      </c>
      <c r="D58">
        <v>1.4000000000000001</v>
      </c>
      <c r="H58" s="3">
        <v>0.74468085106382975</v>
      </c>
      <c r="I58" t="s">
        <v>10</v>
      </c>
    </row>
    <row r="59" spans="1:9" hidden="1">
      <c r="A59" s="1">
        <v>11</v>
      </c>
      <c r="B59" t="s">
        <v>16</v>
      </c>
      <c r="C59" s="3">
        <f t="shared" si="1"/>
        <v>0.14893617021276595</v>
      </c>
      <c r="D59">
        <v>0.70000000000000007</v>
      </c>
      <c r="H59" s="3">
        <v>0.5957446808510638</v>
      </c>
      <c r="I59" t="s">
        <v>11</v>
      </c>
    </row>
    <row r="60" spans="1:9" hidden="1">
      <c r="A60" s="1">
        <v>12</v>
      </c>
      <c r="B60" t="s">
        <v>17</v>
      </c>
      <c r="C60" s="3">
        <f t="shared" si="1"/>
        <v>0.14893617021276595</v>
      </c>
      <c r="D60">
        <v>0.70000000000000007</v>
      </c>
      <c r="H60" s="3">
        <v>0.4468085106382978</v>
      </c>
      <c r="I60" t="s">
        <v>12</v>
      </c>
    </row>
    <row r="61" spans="1:9" hidden="1">
      <c r="A61" s="1">
        <v>13</v>
      </c>
      <c r="B61" t="s">
        <v>18</v>
      </c>
      <c r="C61" s="3">
        <f t="shared" si="1"/>
        <v>0.14893617021276595</v>
      </c>
      <c r="D61">
        <v>0.70000000000000007</v>
      </c>
      <c r="H61" s="3">
        <v>0.37234042553191488</v>
      </c>
      <c r="I61" t="s">
        <v>13</v>
      </c>
    </row>
    <row r="62" spans="1:9" hidden="1">
      <c r="A62" s="1">
        <v>14</v>
      </c>
      <c r="B62" t="s">
        <v>19</v>
      </c>
      <c r="C62" s="3">
        <f t="shared" si="1"/>
        <v>7.4468085106382975E-2</v>
      </c>
      <c r="D62">
        <v>0.35000000000000003</v>
      </c>
      <c r="H62" s="3">
        <v>0.2978723404255319</v>
      </c>
      <c r="I62" t="s">
        <v>14</v>
      </c>
    </row>
    <row r="63" spans="1:9" hidden="1">
      <c r="A63" s="1">
        <v>15</v>
      </c>
      <c r="B63" t="s">
        <v>20</v>
      </c>
      <c r="C63" s="3">
        <f t="shared" si="1"/>
        <v>7.4468085106382975E-2</v>
      </c>
      <c r="D63">
        <v>0.35000000000000003</v>
      </c>
      <c r="H63" s="3">
        <v>0.2978723404255319</v>
      </c>
      <c r="I63" t="s">
        <v>15</v>
      </c>
    </row>
    <row r="64" spans="1:9" hidden="1">
      <c r="A64" s="1">
        <v>16</v>
      </c>
      <c r="B64" t="s">
        <v>34</v>
      </c>
      <c r="C64" s="3">
        <f t="shared" si="1"/>
        <v>9.5744680851063819</v>
      </c>
      <c r="D64">
        <v>45</v>
      </c>
      <c r="H64" s="3">
        <v>0.14893617021276595</v>
      </c>
      <c r="I64" t="s">
        <v>16</v>
      </c>
    </row>
    <row r="65" spans="1:9" hidden="1">
      <c r="A65" s="1">
        <v>17</v>
      </c>
      <c r="B65" t="s">
        <v>33</v>
      </c>
      <c r="C65" s="3">
        <f t="shared" si="1"/>
        <v>9.5744680851063819</v>
      </c>
      <c r="D65">
        <v>45</v>
      </c>
      <c r="H65" s="3">
        <v>0.14893617021276595</v>
      </c>
      <c r="I65" t="s">
        <v>17</v>
      </c>
    </row>
    <row r="66" spans="1:9" hidden="1">
      <c r="A66" s="1">
        <v>18</v>
      </c>
      <c r="B66" t="s">
        <v>124</v>
      </c>
      <c r="C66" s="3">
        <f t="shared" si="1"/>
        <v>3.1914893617021276</v>
      </c>
      <c r="D66">
        <v>15</v>
      </c>
      <c r="H66" s="3">
        <v>0.14893617021276595</v>
      </c>
      <c r="I66" t="s">
        <v>18</v>
      </c>
    </row>
    <row r="67" spans="1:9" hidden="1">
      <c r="A67" s="1">
        <v>19</v>
      </c>
      <c r="B67" t="s">
        <v>123</v>
      </c>
      <c r="C67" s="3">
        <f t="shared" si="1"/>
        <v>6.3829787234042552</v>
      </c>
      <c r="D67">
        <v>30</v>
      </c>
      <c r="H67" s="3">
        <v>7.4468085106382975E-2</v>
      </c>
      <c r="I67" t="s">
        <v>19</v>
      </c>
    </row>
    <row r="68" spans="1:9" hidden="1">
      <c r="A68" s="1">
        <v>20</v>
      </c>
      <c r="B68" t="s">
        <v>37</v>
      </c>
      <c r="C68" s="3">
        <f t="shared" si="1"/>
        <v>3.1914893617021276</v>
      </c>
      <c r="D68">
        <v>15</v>
      </c>
      <c r="H68" s="3">
        <v>7.4468085106382975E-2</v>
      </c>
      <c r="I68" t="s">
        <v>20</v>
      </c>
    </row>
    <row r="69" spans="1:9" hidden="1">
      <c r="A69" s="9" t="s">
        <v>21</v>
      </c>
      <c r="B69" s="9"/>
      <c r="C69">
        <f>SUM(C49:C68)</f>
        <v>100</v>
      </c>
      <c r="D69">
        <f>SUM(D49:D68)</f>
        <v>470.00000000000006</v>
      </c>
    </row>
    <row r="71" spans="1:9">
      <c r="B71" t="s">
        <v>100</v>
      </c>
      <c r="C71" t="s">
        <v>122</v>
      </c>
    </row>
    <row r="72" spans="1:9" ht="19.149999999999999">
      <c r="B72" t="s">
        <v>22</v>
      </c>
      <c r="C72" s="8" t="s">
        <v>140</v>
      </c>
    </row>
    <row r="73" spans="1:9" ht="19.149999999999999">
      <c r="C73" t="s">
        <v>132</v>
      </c>
    </row>
    <row r="74" spans="1:9">
      <c r="C74" t="s">
        <v>121</v>
      </c>
    </row>
    <row r="75" spans="1:9">
      <c r="B75" t="s">
        <v>25</v>
      </c>
      <c r="C75" t="s">
        <v>26</v>
      </c>
    </row>
    <row r="76" spans="1:9">
      <c r="B76" t="s">
        <v>27</v>
      </c>
      <c r="C76" t="s">
        <v>42</v>
      </c>
    </row>
    <row r="77" spans="1:9">
      <c r="B77" t="s">
        <v>29</v>
      </c>
      <c r="C77" s="7">
        <v>202506831460</v>
      </c>
    </row>
    <row r="78" spans="1:9">
      <c r="B78" t="s">
        <v>31</v>
      </c>
      <c r="C78">
        <f>D69</f>
        <v>470.00000000000006</v>
      </c>
    </row>
    <row r="79" spans="1:9">
      <c r="B79" t="s">
        <v>43</v>
      </c>
      <c r="C79" t="s">
        <v>44</v>
      </c>
    </row>
    <row r="80" spans="1:9">
      <c r="B80" t="s">
        <v>98</v>
      </c>
      <c r="C80" t="s">
        <v>99</v>
      </c>
    </row>
    <row r="81" spans="2:3">
      <c r="B81" t="s">
        <v>112</v>
      </c>
      <c r="C81" t="s">
        <v>117</v>
      </c>
    </row>
    <row r="82" spans="2:3">
      <c r="B82" t="s">
        <v>113</v>
      </c>
      <c r="C82" t="s">
        <v>114</v>
      </c>
    </row>
    <row r="83" spans="2:3">
      <c r="B83" t="s">
        <v>115</v>
      </c>
      <c r="C83" t="s">
        <v>116</v>
      </c>
    </row>
    <row r="85" spans="2:3">
      <c r="B85" t="s">
        <v>45</v>
      </c>
      <c r="C85" t="s">
        <v>103</v>
      </c>
    </row>
    <row r="86" spans="2:3">
      <c r="C86" t="s">
        <v>120</v>
      </c>
    </row>
    <row r="87" spans="2:3">
      <c r="B87" t="s">
        <v>46</v>
      </c>
      <c r="C87" t="s">
        <v>119</v>
      </c>
    </row>
    <row r="88" spans="2:3">
      <c r="C88" t="s">
        <v>106</v>
      </c>
    </row>
    <row r="89" spans="2:3">
      <c r="C89" t="s">
        <v>118</v>
      </c>
    </row>
    <row r="90" spans="2:3">
      <c r="C90" t="s">
        <v>108</v>
      </c>
    </row>
    <row r="91" spans="2:3">
      <c r="C91" t="s">
        <v>133</v>
      </c>
    </row>
    <row r="92" spans="2:3">
      <c r="C92" t="s">
        <v>109</v>
      </c>
    </row>
    <row r="93" spans="2:3">
      <c r="C93" t="s">
        <v>110</v>
      </c>
    </row>
    <row r="94" spans="2:3">
      <c r="C94" t="s">
        <v>111</v>
      </c>
    </row>
  </sheetData>
  <mergeCells count="7">
    <mergeCell ref="A69:B69"/>
    <mergeCell ref="H48:J48"/>
    <mergeCell ref="A2:D2"/>
    <mergeCell ref="A19:B19"/>
    <mergeCell ref="A30:D30"/>
    <mergeCell ref="A37:B37"/>
    <mergeCell ref="A47:D4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6EDB-B434-486C-A7CA-3177D93AA5F7}">
  <dimension ref="A1:J118"/>
  <sheetViews>
    <sheetView topLeftCell="A92" workbookViewId="0">
      <selection activeCell="E103" sqref="E103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  <col min="5" max="5" width="10.9375" bestFit="1" customWidth="1"/>
  </cols>
  <sheetData>
    <row r="1" spans="1:5" hidden="1"/>
    <row r="2" spans="1:5" hidden="1">
      <c r="A2" s="10" t="s">
        <v>47</v>
      </c>
      <c r="B2" s="10"/>
      <c r="C2" s="10"/>
      <c r="D2" s="10"/>
    </row>
    <row r="3" spans="1:5" hidden="1">
      <c r="A3" s="1" t="s">
        <v>1</v>
      </c>
      <c r="B3" t="s">
        <v>2</v>
      </c>
      <c r="C3" t="s">
        <v>48</v>
      </c>
    </row>
    <row r="4" spans="1:5" hidden="1">
      <c r="A4" s="1">
        <v>1</v>
      </c>
      <c r="B4" t="s">
        <v>4</v>
      </c>
      <c r="C4" s="2" t="s">
        <v>5</v>
      </c>
      <c r="D4" t="s">
        <v>6</v>
      </c>
      <c r="E4" t="s">
        <v>88</v>
      </c>
    </row>
    <row r="5" spans="1:5" hidden="1">
      <c r="A5" s="1">
        <v>2</v>
      </c>
      <c r="B5" t="s">
        <v>49</v>
      </c>
      <c r="C5" s="3">
        <v>66.600000000000009</v>
      </c>
      <c r="D5">
        <f>C5/$C$16*$C$25</f>
        <v>133.20000000000002</v>
      </c>
      <c r="E5" s="3">
        <f>C5*0.221</f>
        <v>14.718600000000002</v>
      </c>
    </row>
    <row r="6" spans="1:5" hidden="1">
      <c r="A6" s="1">
        <v>3</v>
      </c>
      <c r="B6" t="s">
        <v>50</v>
      </c>
      <c r="C6" s="3">
        <v>25.000000000000007</v>
      </c>
      <c r="D6">
        <f t="shared" ref="D6:D15" si="0">C6/$C$16*$C$25</f>
        <v>50.000000000000014</v>
      </c>
      <c r="E6" s="3">
        <f t="shared" ref="E6:E15" si="1">C6*0.221</f>
        <v>5.5250000000000012</v>
      </c>
    </row>
    <row r="7" spans="1:5" hidden="1">
      <c r="A7" s="1">
        <v>4</v>
      </c>
      <c r="B7" t="s">
        <v>9</v>
      </c>
      <c r="C7" s="3">
        <v>4.0000000000000018</v>
      </c>
      <c r="D7">
        <f t="shared" si="0"/>
        <v>8.0000000000000036</v>
      </c>
      <c r="E7" s="3">
        <f t="shared" si="1"/>
        <v>0.88400000000000045</v>
      </c>
    </row>
    <row r="8" spans="1:5" hidden="1">
      <c r="A8" s="1">
        <v>5</v>
      </c>
      <c r="B8" t="s">
        <v>51</v>
      </c>
      <c r="C8" s="3">
        <v>2.0000000000000009</v>
      </c>
      <c r="D8">
        <f t="shared" si="0"/>
        <v>4.0000000000000018</v>
      </c>
      <c r="E8" s="3">
        <f t="shared" si="1"/>
        <v>0.44200000000000023</v>
      </c>
    </row>
    <row r="9" spans="1:5" hidden="1">
      <c r="A9" s="1">
        <v>6</v>
      </c>
      <c r="B9" t="s">
        <v>15</v>
      </c>
      <c r="C9" s="3">
        <v>1.0000000000000004</v>
      </c>
      <c r="D9">
        <f t="shared" si="0"/>
        <v>2.0000000000000009</v>
      </c>
      <c r="E9" s="3">
        <f t="shared" si="1"/>
        <v>0.22100000000000011</v>
      </c>
    </row>
    <row r="10" spans="1:5" hidden="1">
      <c r="A10" s="1">
        <v>7</v>
      </c>
      <c r="B10" t="s">
        <v>13</v>
      </c>
      <c r="C10" s="3">
        <v>0.6000000000000002</v>
      </c>
      <c r="D10">
        <f t="shared" si="0"/>
        <v>1.2000000000000004</v>
      </c>
      <c r="E10" s="3">
        <f t="shared" si="1"/>
        <v>0.13260000000000005</v>
      </c>
    </row>
    <row r="11" spans="1:5" hidden="1">
      <c r="A11" s="1">
        <v>8</v>
      </c>
      <c r="B11" t="s">
        <v>52</v>
      </c>
      <c r="C11" s="3">
        <v>0.3000000000000001</v>
      </c>
      <c r="D11">
        <f t="shared" si="0"/>
        <v>0.6000000000000002</v>
      </c>
      <c r="E11" s="3">
        <f t="shared" si="1"/>
        <v>6.6300000000000026E-2</v>
      </c>
    </row>
    <row r="12" spans="1:5" hidden="1">
      <c r="A12" s="1">
        <v>9</v>
      </c>
      <c r="B12" t="s">
        <v>53</v>
      </c>
      <c r="C12" s="3">
        <v>0.25000000000000011</v>
      </c>
      <c r="D12">
        <f t="shared" si="0"/>
        <v>0.50000000000000022</v>
      </c>
      <c r="E12" s="3">
        <f t="shared" si="1"/>
        <v>5.5250000000000028E-2</v>
      </c>
    </row>
    <row r="13" spans="1:5" hidden="1">
      <c r="A13" s="1">
        <v>10</v>
      </c>
      <c r="B13" t="s">
        <v>16</v>
      </c>
      <c r="C13" s="3">
        <v>0.10000000000000002</v>
      </c>
      <c r="D13">
        <f t="shared" si="0"/>
        <v>0.20000000000000004</v>
      </c>
      <c r="E13" s="3">
        <f t="shared" si="1"/>
        <v>2.2100000000000005E-2</v>
      </c>
    </row>
    <row r="14" spans="1:5" hidden="1">
      <c r="A14" s="1">
        <v>11</v>
      </c>
      <c r="B14" t="s">
        <v>54</v>
      </c>
      <c r="C14" s="3">
        <v>0.10000000000000002</v>
      </c>
      <c r="D14">
        <f t="shared" si="0"/>
        <v>0.20000000000000004</v>
      </c>
      <c r="E14" s="3">
        <f t="shared" si="1"/>
        <v>2.2100000000000005E-2</v>
      </c>
    </row>
    <row r="15" spans="1:5" hidden="1">
      <c r="A15" s="1">
        <v>12</v>
      </c>
      <c r="B15" t="s">
        <v>55</v>
      </c>
      <c r="C15" s="3">
        <v>5.000000000000001E-2</v>
      </c>
      <c r="D15">
        <f t="shared" si="0"/>
        <v>0.10000000000000002</v>
      </c>
      <c r="E15" s="3">
        <f t="shared" si="1"/>
        <v>1.1050000000000003E-2</v>
      </c>
    </row>
    <row r="16" spans="1:5" hidden="1">
      <c r="A16" s="9" t="s">
        <v>21</v>
      </c>
      <c r="B16" s="9"/>
      <c r="C16" s="3">
        <f>SUM(C5:C15)</f>
        <v>100</v>
      </c>
      <c r="D16" s="3">
        <f>SUM(D5:D15)</f>
        <v>200</v>
      </c>
      <c r="E16" s="3">
        <f>SUM(E5:E15)</f>
        <v>22.100000000000005</v>
      </c>
    </row>
    <row r="17" spans="1:4" hidden="1"/>
    <row r="18" spans="1:4" hidden="1">
      <c r="B18" t="s">
        <v>22</v>
      </c>
      <c r="C18" t="s">
        <v>56</v>
      </c>
    </row>
    <row r="19" spans="1:4" hidden="1">
      <c r="C19" t="s">
        <v>57</v>
      </c>
    </row>
    <row r="20" spans="1:4" hidden="1">
      <c r="C20" t="s">
        <v>58</v>
      </c>
    </row>
    <row r="21" spans="1:4" hidden="1"/>
    <row r="22" spans="1:4" hidden="1">
      <c r="B22" t="s">
        <v>25</v>
      </c>
      <c r="C22" t="s">
        <v>59</v>
      </c>
    </row>
    <row r="23" spans="1:4" hidden="1">
      <c r="B23" t="s">
        <v>27</v>
      </c>
      <c r="C23" t="s">
        <v>60</v>
      </c>
    </row>
    <row r="24" spans="1:4" hidden="1">
      <c r="B24" t="s">
        <v>29</v>
      </c>
      <c r="C24" t="s">
        <v>30</v>
      </c>
    </row>
    <row r="25" spans="1:4" hidden="1">
      <c r="B25" t="s">
        <v>31</v>
      </c>
      <c r="C25">
        <v>200</v>
      </c>
    </row>
    <row r="26" spans="1:4" hidden="1"/>
    <row r="27" spans="1:4" hidden="1">
      <c r="A27" s="10" t="s">
        <v>61</v>
      </c>
      <c r="B27" s="10"/>
      <c r="C27" s="10"/>
      <c r="D27" s="10"/>
    </row>
    <row r="28" spans="1:4" hidden="1">
      <c r="A28" s="1" t="s">
        <v>1</v>
      </c>
      <c r="B28" t="s">
        <v>4</v>
      </c>
      <c r="C28" s="2" t="s">
        <v>5</v>
      </c>
      <c r="D28" t="s">
        <v>6</v>
      </c>
    </row>
    <row r="29" spans="1:4" hidden="1">
      <c r="A29" s="1">
        <v>1</v>
      </c>
      <c r="B29" t="s">
        <v>62</v>
      </c>
      <c r="C29">
        <v>25</v>
      </c>
      <c r="D29">
        <f>C29/$C$31*$C$39</f>
        <v>100</v>
      </c>
    </row>
    <row r="30" spans="1:4" hidden="1">
      <c r="A30" s="1">
        <v>2</v>
      </c>
      <c r="B30" t="s">
        <v>63</v>
      </c>
      <c r="C30">
        <v>75</v>
      </c>
      <c r="D30">
        <f>C30/$C$31*$C$39</f>
        <v>300</v>
      </c>
    </row>
    <row r="31" spans="1:4" hidden="1">
      <c r="A31" s="9" t="s">
        <v>21</v>
      </c>
      <c r="B31" s="9"/>
      <c r="C31">
        <f>SUM(C29:C30)</f>
        <v>100</v>
      </c>
      <c r="D31">
        <f>SUM(D29:D30)</f>
        <v>400</v>
      </c>
    </row>
    <row r="32" spans="1:4" hidden="1"/>
    <row r="33" spans="1:4" hidden="1">
      <c r="B33" t="s">
        <v>22</v>
      </c>
      <c r="C33" t="s">
        <v>64</v>
      </c>
    </row>
    <row r="34" spans="1:4" hidden="1"/>
    <row r="35" spans="1:4" hidden="1"/>
    <row r="36" spans="1:4" hidden="1">
      <c r="B36" t="s">
        <v>25</v>
      </c>
      <c r="C36" t="s">
        <v>65</v>
      </c>
    </row>
    <row r="37" spans="1:4" hidden="1">
      <c r="B37" t="s">
        <v>27</v>
      </c>
      <c r="C37" s="6" t="s">
        <v>66</v>
      </c>
    </row>
    <row r="38" spans="1:4" hidden="1">
      <c r="B38" t="s">
        <v>29</v>
      </c>
      <c r="C38" s="7">
        <v>2019042301571</v>
      </c>
    </row>
    <row r="39" spans="1:4" hidden="1">
      <c r="B39" t="s">
        <v>31</v>
      </c>
      <c r="C39">
        <v>400</v>
      </c>
    </row>
    <row r="40" spans="1:4" hidden="1">
      <c r="B40" t="s">
        <v>67</v>
      </c>
      <c r="C40" t="s">
        <v>68</v>
      </c>
    </row>
    <row r="41" spans="1:4" hidden="1">
      <c r="B41" t="s">
        <v>43</v>
      </c>
      <c r="C41" t="s">
        <v>69</v>
      </c>
    </row>
    <row r="42" spans="1:4" hidden="1"/>
    <row r="43" spans="1:4" hidden="1">
      <c r="A43" s="10" t="s">
        <v>70</v>
      </c>
      <c r="B43" s="10"/>
      <c r="C43" s="10"/>
      <c r="D43" s="10"/>
    </row>
    <row r="44" spans="1:4" hidden="1">
      <c r="A44" s="1" t="s">
        <v>1</v>
      </c>
      <c r="B44" t="s">
        <v>4</v>
      </c>
      <c r="C44" s="2" t="s">
        <v>5</v>
      </c>
      <c r="D44" t="s">
        <v>6</v>
      </c>
    </row>
    <row r="45" spans="1:4" hidden="1">
      <c r="A45" s="1">
        <v>1</v>
      </c>
      <c r="B45" t="s">
        <v>71</v>
      </c>
      <c r="C45">
        <v>100</v>
      </c>
      <c r="D45">
        <v>60</v>
      </c>
    </row>
    <row r="46" spans="1:4" hidden="1">
      <c r="A46" s="9" t="s">
        <v>21</v>
      </c>
      <c r="B46" s="9"/>
      <c r="C46">
        <f>SUM(C45:C45)</f>
        <v>100</v>
      </c>
      <c r="D46">
        <f>SUM(D45:D45)</f>
        <v>60</v>
      </c>
    </row>
    <row r="47" spans="1:4" hidden="1"/>
    <row r="48" spans="1:4" hidden="1">
      <c r="B48" t="s">
        <v>22</v>
      </c>
      <c r="C48" t="s">
        <v>72</v>
      </c>
    </row>
    <row r="49" spans="1:5" hidden="1"/>
    <row r="50" spans="1:5" hidden="1"/>
    <row r="51" spans="1:5" hidden="1">
      <c r="B51" t="s">
        <v>25</v>
      </c>
      <c r="C51" t="s">
        <v>65</v>
      </c>
    </row>
    <row r="52" spans="1:5" hidden="1">
      <c r="B52" t="s">
        <v>27</v>
      </c>
      <c r="C52" s="4" t="s">
        <v>39</v>
      </c>
    </row>
    <row r="53" spans="1:5" hidden="1">
      <c r="B53" t="s">
        <v>29</v>
      </c>
      <c r="C53" t="s">
        <v>30</v>
      </c>
    </row>
    <row r="54" spans="1:5" hidden="1">
      <c r="B54" t="s">
        <v>31</v>
      </c>
      <c r="C54">
        <v>60</v>
      </c>
    </row>
    <row r="55" spans="1:5" hidden="1"/>
    <row r="56" spans="1:5" hidden="1">
      <c r="A56" s="10" t="s">
        <v>73</v>
      </c>
      <c r="B56" s="10"/>
      <c r="C56" s="10"/>
      <c r="D56" s="10"/>
    </row>
    <row r="57" spans="1:5" hidden="1">
      <c r="A57" s="1" t="s">
        <v>1</v>
      </c>
      <c r="B57" t="s">
        <v>4</v>
      </c>
      <c r="C57" s="2" t="s">
        <v>5</v>
      </c>
      <c r="D57" t="s">
        <v>6</v>
      </c>
      <c r="E57" t="s">
        <v>88</v>
      </c>
    </row>
    <row r="58" spans="1:5" hidden="1">
      <c r="A58" s="1">
        <v>1</v>
      </c>
      <c r="B58" t="s">
        <v>33</v>
      </c>
      <c r="C58">
        <v>61.23</v>
      </c>
      <c r="D58" s="3">
        <f>C58/$C$62*$C$70</f>
        <v>150.01350000000002</v>
      </c>
      <c r="E58" s="3">
        <f>C58*0.2707</f>
        <v>16.574960999999998</v>
      </c>
    </row>
    <row r="59" spans="1:5" hidden="1">
      <c r="A59" s="1">
        <v>2</v>
      </c>
      <c r="B59" t="s">
        <v>74</v>
      </c>
      <c r="C59">
        <v>20</v>
      </c>
      <c r="D59" s="3">
        <f t="shared" ref="D59:D61" si="2">C59/$C$62*$C$70</f>
        <v>49.000000000000007</v>
      </c>
      <c r="E59" s="3">
        <f t="shared" ref="E59:E61" si="3">C59*0.2707</f>
        <v>5.4139999999999997</v>
      </c>
    </row>
    <row r="60" spans="1:5" hidden="1">
      <c r="A60" s="1">
        <v>3</v>
      </c>
      <c r="B60" t="s">
        <v>90</v>
      </c>
      <c r="C60">
        <v>8.77</v>
      </c>
      <c r="D60" s="3">
        <f t="shared" ref="D60" si="4">C60/$C$62*$C$70</f>
        <v>21.486500000000003</v>
      </c>
      <c r="E60" s="3">
        <f t="shared" ref="E60" si="5">C60*0.2707</f>
        <v>2.3740389999999998</v>
      </c>
    </row>
    <row r="61" spans="1:5" hidden="1">
      <c r="A61" s="1">
        <v>4</v>
      </c>
      <c r="B61" t="s">
        <v>75</v>
      </c>
      <c r="C61">
        <v>10</v>
      </c>
      <c r="D61" s="3">
        <f t="shared" si="2"/>
        <v>24.500000000000004</v>
      </c>
      <c r="E61" s="3">
        <f t="shared" si="3"/>
        <v>2.7069999999999999</v>
      </c>
    </row>
    <row r="62" spans="1:5" hidden="1">
      <c r="A62" s="9" t="s">
        <v>21</v>
      </c>
      <c r="B62" s="9"/>
      <c r="C62">
        <f>SUM(C58:C61)</f>
        <v>99.999999999999986</v>
      </c>
      <c r="D62">
        <f>SUM(D58:D61)</f>
        <v>245.00000000000003</v>
      </c>
      <c r="E62">
        <f>SUM(E58:E61)</f>
        <v>27.069999999999997</v>
      </c>
    </row>
    <row r="63" spans="1:5" hidden="1"/>
    <row r="64" spans="1:5" hidden="1">
      <c r="B64" t="s">
        <v>22</v>
      </c>
      <c r="C64" t="s">
        <v>76</v>
      </c>
    </row>
    <row r="65" spans="1:10" hidden="1"/>
    <row r="66" spans="1:10" hidden="1"/>
    <row r="67" spans="1:10" hidden="1">
      <c r="B67" t="s">
        <v>25</v>
      </c>
    </row>
    <row r="68" spans="1:10" hidden="1">
      <c r="B68" t="s">
        <v>27</v>
      </c>
      <c r="C68" s="4" t="s">
        <v>39</v>
      </c>
    </row>
    <row r="69" spans="1:10" hidden="1">
      <c r="B69" t="s">
        <v>29</v>
      </c>
      <c r="C69" t="s">
        <v>30</v>
      </c>
    </row>
    <row r="70" spans="1:10" hidden="1">
      <c r="B70" t="s">
        <v>31</v>
      </c>
      <c r="C70">
        <v>245</v>
      </c>
    </row>
    <row r="71" spans="1:10" hidden="1"/>
    <row r="72" spans="1:10" hidden="1">
      <c r="A72" s="10" t="s">
        <v>77</v>
      </c>
      <c r="B72" s="10"/>
      <c r="C72" s="10"/>
      <c r="D72" s="10"/>
    </row>
    <row r="73" spans="1:10" hidden="1">
      <c r="A73" s="1" t="s">
        <v>1</v>
      </c>
      <c r="B73" t="s">
        <v>4</v>
      </c>
      <c r="C73" s="2" t="s">
        <v>5</v>
      </c>
      <c r="D73" t="s">
        <v>6</v>
      </c>
      <c r="I73" s="5" t="s">
        <v>102</v>
      </c>
      <c r="J73" s="5"/>
    </row>
    <row r="74" spans="1:10" hidden="1">
      <c r="A74" s="1">
        <v>1</v>
      </c>
      <c r="B74" t="s">
        <v>78</v>
      </c>
      <c r="C74" s="3">
        <f>D74/$D$91*100</f>
        <v>6.6298342541436464</v>
      </c>
      <c r="D74">
        <f>C54</f>
        <v>60</v>
      </c>
      <c r="E74" s="3">
        <f>C74*9.05</f>
        <v>60.000000000000007</v>
      </c>
      <c r="I74" s="3">
        <v>44.19889502762431</v>
      </c>
      <c r="J74" t="s">
        <v>95</v>
      </c>
    </row>
    <row r="75" spans="1:10" hidden="1">
      <c r="A75" s="1">
        <v>2</v>
      </c>
      <c r="B75" t="s">
        <v>49</v>
      </c>
      <c r="C75" s="3">
        <v>14.718600000000002</v>
      </c>
      <c r="D75">
        <f>C25</f>
        <v>200</v>
      </c>
      <c r="E75" s="3">
        <f t="shared" ref="E75:E90" si="6">C75*9.05</f>
        <v>133.20333000000002</v>
      </c>
      <c r="I75" s="3">
        <v>16.574960999999998</v>
      </c>
      <c r="J75" t="s">
        <v>91</v>
      </c>
    </row>
    <row r="76" spans="1:10" hidden="1">
      <c r="B76" t="s">
        <v>50</v>
      </c>
      <c r="C76" s="3">
        <v>5.5250000000000012</v>
      </c>
      <c r="E76" s="3">
        <f t="shared" si="6"/>
        <v>50.001250000000013</v>
      </c>
      <c r="I76" s="3">
        <v>14.73</v>
      </c>
      <c r="J76" t="s">
        <v>49</v>
      </c>
    </row>
    <row r="77" spans="1:10" hidden="1">
      <c r="B77" t="s">
        <v>9</v>
      </c>
      <c r="C77" s="3">
        <v>0.88400000000000045</v>
      </c>
      <c r="E77" s="3">
        <f t="shared" si="6"/>
        <v>8.0002000000000049</v>
      </c>
      <c r="I77" s="3">
        <v>6.6298342541436464</v>
      </c>
      <c r="J77" t="s">
        <v>94</v>
      </c>
    </row>
    <row r="78" spans="1:10" hidden="1">
      <c r="B78" t="s">
        <v>51</v>
      </c>
      <c r="C78" s="3">
        <v>0.44200000000000023</v>
      </c>
      <c r="E78" s="3">
        <f t="shared" si="6"/>
        <v>4.0001000000000024</v>
      </c>
      <c r="I78" s="3">
        <v>5.5250000000000012</v>
      </c>
      <c r="J78" t="s">
        <v>50</v>
      </c>
    </row>
    <row r="79" spans="1:10" hidden="1">
      <c r="B79" t="s">
        <v>15</v>
      </c>
      <c r="C79" s="3">
        <v>0.22100000000000011</v>
      </c>
      <c r="E79" s="3">
        <f t="shared" si="6"/>
        <v>2.0000500000000012</v>
      </c>
      <c r="I79" s="3">
        <v>5.4139999999999997</v>
      </c>
      <c r="J79" t="s">
        <v>92</v>
      </c>
    </row>
    <row r="80" spans="1:10" hidden="1">
      <c r="B80" t="s">
        <v>13</v>
      </c>
      <c r="C80" s="3">
        <v>0.13260000000000005</v>
      </c>
      <c r="E80" s="3">
        <f t="shared" si="6"/>
        <v>1.2000300000000006</v>
      </c>
      <c r="I80" s="3">
        <v>2.7069999999999999</v>
      </c>
      <c r="J80" t="s">
        <v>93</v>
      </c>
    </row>
    <row r="81" spans="1:10" hidden="1">
      <c r="B81" t="s">
        <v>52</v>
      </c>
      <c r="C81" s="3">
        <v>6.6300000000000026E-2</v>
      </c>
      <c r="E81" s="3">
        <f t="shared" si="6"/>
        <v>0.6000150000000003</v>
      </c>
      <c r="I81" s="3">
        <v>2.3740389999999998</v>
      </c>
      <c r="J81" t="s">
        <v>89</v>
      </c>
    </row>
    <row r="82" spans="1:10" hidden="1">
      <c r="B82" t="s">
        <v>53</v>
      </c>
      <c r="C82" s="3">
        <v>5.5250000000000028E-2</v>
      </c>
      <c r="E82" s="3">
        <f t="shared" si="6"/>
        <v>0.5000125000000003</v>
      </c>
      <c r="I82" s="3">
        <v>0.88400000000000045</v>
      </c>
      <c r="J82" t="s">
        <v>9</v>
      </c>
    </row>
    <row r="83" spans="1:10" hidden="1">
      <c r="B83" t="s">
        <v>16</v>
      </c>
      <c r="C83" s="3">
        <v>2.2100000000000005E-2</v>
      </c>
      <c r="E83" s="3">
        <f t="shared" si="6"/>
        <v>0.20000500000000007</v>
      </c>
      <c r="I83" s="3">
        <v>0.44200000000000023</v>
      </c>
      <c r="J83" t="s">
        <v>51</v>
      </c>
    </row>
    <row r="84" spans="1:10" hidden="1">
      <c r="B84" t="s">
        <v>54</v>
      </c>
      <c r="C84" s="3">
        <v>2.2100000000000005E-2</v>
      </c>
      <c r="E84" s="3">
        <f t="shared" si="6"/>
        <v>0.20000500000000007</v>
      </c>
      <c r="I84" s="3">
        <v>0.22100000000000011</v>
      </c>
      <c r="J84" t="s">
        <v>15</v>
      </c>
    </row>
    <row r="85" spans="1:10" hidden="1">
      <c r="B85" t="s">
        <v>55</v>
      </c>
      <c r="C85" s="3">
        <v>1.1050000000000003E-2</v>
      </c>
      <c r="E85" s="3">
        <f t="shared" si="6"/>
        <v>0.10000250000000004</v>
      </c>
      <c r="I85" s="3">
        <v>0.13260000000000005</v>
      </c>
      <c r="J85" t="s">
        <v>13</v>
      </c>
    </row>
    <row r="86" spans="1:10" hidden="1">
      <c r="A86" s="1">
        <v>3</v>
      </c>
      <c r="B86" t="s">
        <v>79</v>
      </c>
      <c r="C86" s="3">
        <f>D86/$D$91*100</f>
        <v>44.19889502762431</v>
      </c>
      <c r="D86">
        <f>C39</f>
        <v>400</v>
      </c>
      <c r="E86" s="3">
        <f t="shared" si="6"/>
        <v>400.00000000000006</v>
      </c>
      <c r="I86" s="3">
        <v>6.6300000000000026E-2</v>
      </c>
      <c r="J86" t="s">
        <v>52</v>
      </c>
    </row>
    <row r="87" spans="1:10" hidden="1">
      <c r="B87" t="s">
        <v>91</v>
      </c>
      <c r="C87" s="3">
        <v>16.574960999999998</v>
      </c>
      <c r="E87" s="3">
        <f t="shared" si="6"/>
        <v>150.00339704999999</v>
      </c>
      <c r="I87" s="3">
        <v>5.5250000000000028E-2</v>
      </c>
      <c r="J87" t="s">
        <v>53</v>
      </c>
    </row>
    <row r="88" spans="1:10" hidden="1">
      <c r="B88" t="s">
        <v>92</v>
      </c>
      <c r="C88" s="3">
        <v>5.4139999999999997</v>
      </c>
      <c r="E88" s="3">
        <f t="shared" si="6"/>
        <v>48.996700000000004</v>
      </c>
      <c r="I88" s="3">
        <v>2.2100000000000005E-2</v>
      </c>
      <c r="J88" t="s">
        <v>16</v>
      </c>
    </row>
    <row r="89" spans="1:10" hidden="1">
      <c r="B89" t="s">
        <v>89</v>
      </c>
      <c r="C89" s="3">
        <v>2.3740389999999998</v>
      </c>
      <c r="E89" s="3">
        <f t="shared" si="6"/>
        <v>21.48505295</v>
      </c>
      <c r="I89" s="3">
        <v>2.2100000000000005E-2</v>
      </c>
      <c r="J89" t="s">
        <v>54</v>
      </c>
    </row>
    <row r="90" spans="1:10" hidden="1">
      <c r="A90" s="1">
        <v>3</v>
      </c>
      <c r="B90" t="s">
        <v>93</v>
      </c>
      <c r="C90" s="3">
        <v>2.7069999999999999</v>
      </c>
      <c r="D90">
        <f>C70</f>
        <v>245</v>
      </c>
      <c r="E90" s="3">
        <f t="shared" si="6"/>
        <v>24.498350000000002</v>
      </c>
      <c r="I90" s="3">
        <v>1.1050000000000003E-2</v>
      </c>
      <c r="J90" t="s">
        <v>55</v>
      </c>
    </row>
    <row r="91" spans="1:10" hidden="1">
      <c r="A91" s="9" t="s">
        <v>21</v>
      </c>
      <c r="B91" s="9"/>
      <c r="C91" s="3">
        <f>SUM(C74:C90)</f>
        <v>99.99872928176795</v>
      </c>
      <c r="D91">
        <f>SUM(D74:D90)</f>
        <v>905</v>
      </c>
      <c r="E91" s="3">
        <f>SUM(E74:E90)</f>
        <v>904.98850000000004</v>
      </c>
    </row>
    <row r="93" spans="1:10">
      <c r="B93" t="s">
        <v>100</v>
      </c>
      <c r="C93" t="s">
        <v>101</v>
      </c>
    </row>
    <row r="94" spans="1:10" ht="19.149999999999999">
      <c r="B94" t="s">
        <v>22</v>
      </c>
      <c r="C94" s="8" t="s">
        <v>141</v>
      </c>
    </row>
    <row r="95" spans="1:10" ht="19.149999999999999">
      <c r="C95" s="8" t="s">
        <v>142</v>
      </c>
    </row>
    <row r="96" spans="1:10" ht="19.149999999999999">
      <c r="C96" s="8" t="s">
        <v>97</v>
      </c>
    </row>
    <row r="97" spans="2:3">
      <c r="C97" t="s">
        <v>96</v>
      </c>
    </row>
    <row r="98" spans="2:3">
      <c r="B98" t="s">
        <v>25</v>
      </c>
      <c r="C98" t="s">
        <v>59</v>
      </c>
    </row>
    <row r="99" spans="2:3">
      <c r="B99" t="s">
        <v>27</v>
      </c>
      <c r="C99" t="s">
        <v>42</v>
      </c>
    </row>
    <row r="100" spans="2:3">
      <c r="B100" t="s">
        <v>29</v>
      </c>
      <c r="C100" s="7">
        <v>202506831459</v>
      </c>
    </row>
    <row r="101" spans="2:3">
      <c r="B101" t="s">
        <v>31</v>
      </c>
      <c r="C101">
        <f>D91</f>
        <v>905</v>
      </c>
    </row>
    <row r="102" spans="2:3">
      <c r="B102" t="s">
        <v>43</v>
      </c>
      <c r="C102" t="s">
        <v>44</v>
      </c>
    </row>
    <row r="103" spans="2:3">
      <c r="B103" t="s">
        <v>98</v>
      </c>
      <c r="C103" t="s">
        <v>99</v>
      </c>
    </row>
    <row r="104" spans="2:3">
      <c r="B104" t="s">
        <v>112</v>
      </c>
      <c r="C104" t="s">
        <v>117</v>
      </c>
    </row>
    <row r="105" spans="2:3">
      <c r="B105" t="s">
        <v>113</v>
      </c>
      <c r="C105" t="s">
        <v>114</v>
      </c>
    </row>
    <row r="106" spans="2:3">
      <c r="B106" t="s">
        <v>115</v>
      </c>
      <c r="C106" t="s">
        <v>116</v>
      </c>
    </row>
    <row r="109" spans="2:3">
      <c r="B109" t="s">
        <v>45</v>
      </c>
      <c r="C109" t="s">
        <v>103</v>
      </c>
    </row>
    <row r="110" spans="2:3">
      <c r="C110" t="s">
        <v>104</v>
      </c>
    </row>
    <row r="111" spans="2:3">
      <c r="B111" t="s">
        <v>46</v>
      </c>
      <c r="C111" t="s">
        <v>105</v>
      </c>
    </row>
    <row r="112" spans="2:3">
      <c r="C112" t="s">
        <v>106</v>
      </c>
    </row>
    <row r="113" spans="3:3">
      <c r="C113" t="s">
        <v>107</v>
      </c>
    </row>
    <row r="114" spans="3:3">
      <c r="C114" t="s">
        <v>108</v>
      </c>
    </row>
    <row r="115" spans="3:3">
      <c r="C115" t="s">
        <v>133</v>
      </c>
    </row>
    <row r="116" spans="3:3">
      <c r="C116" t="s">
        <v>109</v>
      </c>
    </row>
    <row r="117" spans="3:3">
      <c r="C117" t="s">
        <v>110</v>
      </c>
    </row>
    <row r="118" spans="3:3">
      <c r="C118" t="s">
        <v>111</v>
      </c>
    </row>
  </sheetData>
  <sortState xmlns:xlrd2="http://schemas.microsoft.com/office/spreadsheetml/2017/richdata2" ref="I74:J90">
    <sortCondition descending="1" ref="I74:I90"/>
  </sortState>
  <mergeCells count="10">
    <mergeCell ref="A56:D56"/>
    <mergeCell ref="A62:B62"/>
    <mergeCell ref="A72:D72"/>
    <mergeCell ref="A91:B91"/>
    <mergeCell ref="A2:D2"/>
    <mergeCell ref="A16:B16"/>
    <mergeCell ref="A27:D27"/>
    <mergeCell ref="A31:B31"/>
    <mergeCell ref="A43:D43"/>
    <mergeCell ref="A46:B46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C802-643F-436A-81C8-8A536DDC7BDA}">
  <dimension ref="A1:D26"/>
  <sheetViews>
    <sheetView topLeftCell="A11" workbookViewId="0">
      <selection activeCell="C31" sqref="C31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</cols>
  <sheetData>
    <row r="1" spans="1:4" hidden="1">
      <c r="A1" s="10" t="s">
        <v>80</v>
      </c>
      <c r="B1" s="10"/>
      <c r="C1" s="10"/>
      <c r="D1" s="10"/>
    </row>
    <row r="2" spans="1:4" hidden="1">
      <c r="A2" s="1" t="s">
        <v>1</v>
      </c>
      <c r="B2" t="s">
        <v>4</v>
      </c>
      <c r="C2" s="2" t="s">
        <v>5</v>
      </c>
      <c r="D2" t="s">
        <v>6</v>
      </c>
    </row>
    <row r="3" spans="1:4" hidden="1">
      <c r="A3" s="1">
        <v>1</v>
      </c>
      <c r="B3" t="s">
        <v>81</v>
      </c>
      <c r="C3">
        <f t="shared" ref="C3:C9" si="0">D3/$D$10*100</f>
        <v>60</v>
      </c>
      <c r="D3">
        <v>300</v>
      </c>
    </row>
    <row r="4" spans="1:4" hidden="1">
      <c r="A4" s="1">
        <v>2</v>
      </c>
      <c r="B4" t="s">
        <v>82</v>
      </c>
      <c r="C4">
        <f t="shared" si="0"/>
        <v>25.55</v>
      </c>
      <c r="D4">
        <v>127.75</v>
      </c>
    </row>
    <row r="5" spans="1:4" hidden="1">
      <c r="A5" s="1">
        <v>3</v>
      </c>
      <c r="B5" t="s">
        <v>83</v>
      </c>
      <c r="C5">
        <f t="shared" si="0"/>
        <v>5</v>
      </c>
      <c r="D5">
        <v>25</v>
      </c>
    </row>
    <row r="6" spans="1:4" hidden="1">
      <c r="A6" s="1">
        <v>4</v>
      </c>
      <c r="B6" t="s">
        <v>84</v>
      </c>
      <c r="C6">
        <f t="shared" si="0"/>
        <v>3.5000000000000004</v>
      </c>
      <c r="D6">
        <v>17.5</v>
      </c>
    </row>
    <row r="7" spans="1:4" hidden="1">
      <c r="A7" s="1">
        <v>5</v>
      </c>
      <c r="B7" t="s">
        <v>85</v>
      </c>
      <c r="C7">
        <f t="shared" si="0"/>
        <v>3.5000000000000004</v>
      </c>
      <c r="D7">
        <v>17.5</v>
      </c>
    </row>
    <row r="8" spans="1:4" hidden="1">
      <c r="A8" s="1">
        <v>6</v>
      </c>
      <c r="B8" t="s">
        <v>52</v>
      </c>
      <c r="C8">
        <f t="shared" si="0"/>
        <v>1.7500000000000002</v>
      </c>
      <c r="D8">
        <v>8.75</v>
      </c>
    </row>
    <row r="9" spans="1:4" hidden="1">
      <c r="A9" s="1">
        <v>7</v>
      </c>
      <c r="B9" t="s">
        <v>86</v>
      </c>
      <c r="C9">
        <f t="shared" si="0"/>
        <v>0.70000000000000007</v>
      </c>
      <c r="D9">
        <v>3.5</v>
      </c>
    </row>
    <row r="10" spans="1:4" hidden="1">
      <c r="A10" s="9" t="s">
        <v>21</v>
      </c>
      <c r="B10" s="9"/>
      <c r="C10">
        <f>SUM(C3:C9)</f>
        <v>100</v>
      </c>
      <c r="D10">
        <f>SUM(D3:D9)</f>
        <v>500</v>
      </c>
    </row>
    <row r="12" spans="1:4">
      <c r="B12" t="s">
        <v>100</v>
      </c>
      <c r="C12" t="s">
        <v>137</v>
      </c>
    </row>
    <row r="13" spans="1:4" ht="19.149999999999999">
      <c r="B13" t="s">
        <v>22</v>
      </c>
      <c r="C13" s="8" t="s">
        <v>138</v>
      </c>
    </row>
    <row r="14" spans="1:4" ht="19.149999999999999">
      <c r="C14" s="8" t="s">
        <v>139</v>
      </c>
    </row>
    <row r="16" spans="1:4">
      <c r="B16" t="s">
        <v>25</v>
      </c>
      <c r="C16" t="s">
        <v>59</v>
      </c>
    </row>
    <row r="17" spans="2:3">
      <c r="B17" t="s">
        <v>27</v>
      </c>
      <c r="C17" t="s">
        <v>87</v>
      </c>
    </row>
    <row r="18" spans="2:3">
      <c r="B18" t="s">
        <v>29</v>
      </c>
      <c r="C18" s="7">
        <v>2025068314511</v>
      </c>
    </row>
    <row r="19" spans="2:3">
      <c r="B19" t="s">
        <v>31</v>
      </c>
      <c r="C19">
        <f>D10</f>
        <v>500</v>
      </c>
    </row>
    <row r="20" spans="2:3">
      <c r="B20" t="s">
        <v>43</v>
      </c>
      <c r="C20" t="s">
        <v>44</v>
      </c>
    </row>
    <row r="21" spans="2:3">
      <c r="B21" t="s">
        <v>45</v>
      </c>
      <c r="C21" t="s">
        <v>134</v>
      </c>
    </row>
    <row r="22" spans="2:3">
      <c r="B22" t="s">
        <v>46</v>
      </c>
      <c r="C22" t="s">
        <v>135</v>
      </c>
    </row>
    <row r="23" spans="2:3">
      <c r="C23" t="s">
        <v>136</v>
      </c>
    </row>
    <row r="24" spans="2:3">
      <c r="C24" t="s">
        <v>109</v>
      </c>
    </row>
    <row r="25" spans="2:3">
      <c r="C25" t="s">
        <v>110</v>
      </c>
    </row>
    <row r="26" spans="2:3">
      <c r="C26" t="s">
        <v>111</v>
      </c>
    </row>
  </sheetData>
  <mergeCells count="2">
    <mergeCell ref="A1:D1"/>
    <mergeCell ref="A10:B10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F9C0-DBF4-46EB-AAB8-068E1CE6259A}">
  <dimension ref="A1:J102"/>
  <sheetViews>
    <sheetView topLeftCell="A79" workbookViewId="0">
      <selection activeCell="C93" sqref="C93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</cols>
  <sheetData>
    <row r="1" spans="1:4" hidden="1"/>
    <row r="2" spans="1:4" hidden="1">
      <c r="A2" s="10" t="s">
        <v>0</v>
      </c>
      <c r="B2" s="10"/>
      <c r="C2" s="10"/>
      <c r="D2" s="10"/>
    </row>
    <row r="3" spans="1:4" hidden="1">
      <c r="A3" s="1" t="s">
        <v>1</v>
      </c>
      <c r="B3" t="s">
        <v>2</v>
      </c>
      <c r="C3" t="s">
        <v>3</v>
      </c>
    </row>
    <row r="4" spans="1:4" hidden="1">
      <c r="A4" s="1">
        <v>1</v>
      </c>
      <c r="B4" t="s">
        <v>4</v>
      </c>
      <c r="C4" s="2" t="s">
        <v>5</v>
      </c>
      <c r="D4" t="s">
        <v>6</v>
      </c>
    </row>
    <row r="5" spans="1:4" hidden="1">
      <c r="A5" s="1">
        <v>2</v>
      </c>
      <c r="B5" t="s">
        <v>7</v>
      </c>
      <c r="C5" s="3">
        <v>48</v>
      </c>
      <c r="D5">
        <f t="shared" ref="D5:D18" si="0">C5/$C$19*$C$27</f>
        <v>33.6</v>
      </c>
    </row>
    <row r="6" spans="1:4" hidden="1">
      <c r="A6" s="1">
        <v>3</v>
      </c>
      <c r="B6" t="s">
        <v>8</v>
      </c>
      <c r="C6" s="3">
        <v>21.5</v>
      </c>
      <c r="D6">
        <f t="shared" si="0"/>
        <v>15.049999999999999</v>
      </c>
    </row>
    <row r="7" spans="1:4" hidden="1">
      <c r="A7" s="1">
        <v>4</v>
      </c>
      <c r="B7" t="s">
        <v>9</v>
      </c>
      <c r="C7" s="3">
        <v>8</v>
      </c>
      <c r="D7">
        <f t="shared" si="0"/>
        <v>5.6000000000000005</v>
      </c>
    </row>
    <row r="8" spans="1:4" hidden="1">
      <c r="A8" s="1">
        <v>5</v>
      </c>
      <c r="B8" t="s">
        <v>10</v>
      </c>
      <c r="C8" s="3">
        <v>5</v>
      </c>
      <c r="D8">
        <f t="shared" si="0"/>
        <v>3.5</v>
      </c>
    </row>
    <row r="9" spans="1:4" hidden="1">
      <c r="A9" s="1">
        <v>6</v>
      </c>
      <c r="B9" t="s">
        <v>11</v>
      </c>
      <c r="C9" s="3">
        <v>4</v>
      </c>
      <c r="D9">
        <f t="shared" si="0"/>
        <v>2.8000000000000003</v>
      </c>
    </row>
    <row r="10" spans="1:4" hidden="1">
      <c r="A10" s="1">
        <v>7</v>
      </c>
      <c r="B10" t="s">
        <v>12</v>
      </c>
      <c r="C10" s="3">
        <v>3</v>
      </c>
      <c r="D10">
        <f t="shared" si="0"/>
        <v>2.1</v>
      </c>
    </row>
    <row r="11" spans="1:4" hidden="1">
      <c r="A11" s="1">
        <v>8</v>
      </c>
      <c r="B11" t="s">
        <v>13</v>
      </c>
      <c r="C11" s="3">
        <v>2.5</v>
      </c>
      <c r="D11">
        <f t="shared" si="0"/>
        <v>1.75</v>
      </c>
    </row>
    <row r="12" spans="1:4" hidden="1">
      <c r="A12" s="1">
        <v>9</v>
      </c>
      <c r="B12" t="s">
        <v>14</v>
      </c>
      <c r="C12" s="3">
        <v>2</v>
      </c>
      <c r="D12">
        <f t="shared" si="0"/>
        <v>1.4000000000000001</v>
      </c>
    </row>
    <row r="13" spans="1:4" hidden="1">
      <c r="A13" s="1">
        <v>10</v>
      </c>
      <c r="B13" t="s">
        <v>15</v>
      </c>
      <c r="C13" s="3">
        <v>2</v>
      </c>
      <c r="D13">
        <f t="shared" si="0"/>
        <v>1.4000000000000001</v>
      </c>
    </row>
    <row r="14" spans="1:4" hidden="1">
      <c r="A14" s="1">
        <v>11</v>
      </c>
      <c r="B14" t="s">
        <v>16</v>
      </c>
      <c r="C14" s="3">
        <v>1</v>
      </c>
      <c r="D14">
        <f t="shared" si="0"/>
        <v>0.70000000000000007</v>
      </c>
    </row>
    <row r="15" spans="1:4" hidden="1">
      <c r="A15" s="1">
        <v>12</v>
      </c>
      <c r="B15" t="s">
        <v>17</v>
      </c>
      <c r="C15" s="3">
        <v>1</v>
      </c>
      <c r="D15">
        <f t="shared" si="0"/>
        <v>0.70000000000000007</v>
      </c>
    </row>
    <row r="16" spans="1:4" hidden="1">
      <c r="A16" s="1">
        <v>13</v>
      </c>
      <c r="B16" t="s">
        <v>18</v>
      </c>
      <c r="C16" s="3">
        <v>1</v>
      </c>
      <c r="D16">
        <f t="shared" si="0"/>
        <v>0.70000000000000007</v>
      </c>
    </row>
    <row r="17" spans="1:4" hidden="1">
      <c r="A17" s="1">
        <v>14</v>
      </c>
      <c r="B17" t="s">
        <v>19</v>
      </c>
      <c r="C17" s="3">
        <v>0.5</v>
      </c>
      <c r="D17">
        <f t="shared" si="0"/>
        <v>0.35000000000000003</v>
      </c>
    </row>
    <row r="18" spans="1:4" hidden="1">
      <c r="A18" s="1">
        <v>15</v>
      </c>
      <c r="B18" t="s">
        <v>20</v>
      </c>
      <c r="C18" s="3">
        <v>0.5</v>
      </c>
      <c r="D18">
        <f t="shared" si="0"/>
        <v>0.35000000000000003</v>
      </c>
    </row>
    <row r="19" spans="1:4" hidden="1">
      <c r="A19" s="9" t="s">
        <v>21</v>
      </c>
      <c r="B19" s="9"/>
      <c r="C19" s="3">
        <f>SUM(C5:C18)</f>
        <v>100</v>
      </c>
      <c r="D19" s="3">
        <f>SUM(D5:D18)</f>
        <v>70.000000000000014</v>
      </c>
    </row>
    <row r="20" spans="1:4" hidden="1"/>
    <row r="21" spans="1:4" hidden="1">
      <c r="B21" t="s">
        <v>22</v>
      </c>
      <c r="C21" t="s">
        <v>23</v>
      </c>
    </row>
    <row r="22" spans="1:4" hidden="1">
      <c r="C22" t="s">
        <v>24</v>
      </c>
    </row>
    <row r="23" spans="1:4" hidden="1"/>
    <row r="24" spans="1:4" hidden="1">
      <c r="B24" t="s">
        <v>25</v>
      </c>
      <c r="C24" t="s">
        <v>26</v>
      </c>
    </row>
    <row r="25" spans="1:4" hidden="1">
      <c r="B25" t="s">
        <v>27</v>
      </c>
      <c r="C25" t="s">
        <v>28</v>
      </c>
    </row>
    <row r="26" spans="1:4" hidden="1">
      <c r="B26" t="s">
        <v>29</v>
      </c>
      <c r="C26" t="s">
        <v>30</v>
      </c>
    </row>
    <row r="27" spans="1:4" hidden="1">
      <c r="B27" t="s">
        <v>31</v>
      </c>
      <c r="C27">
        <v>70</v>
      </c>
    </row>
    <row r="28" spans="1:4" hidden="1"/>
    <row r="29" spans="1:4" hidden="1"/>
    <row r="30" spans="1:4" hidden="1">
      <c r="A30" s="10" t="s">
        <v>32</v>
      </c>
      <c r="B30" s="10"/>
      <c r="C30" s="10"/>
      <c r="D30" s="10"/>
    </row>
    <row r="31" spans="1:4" hidden="1">
      <c r="A31" s="1" t="s">
        <v>1</v>
      </c>
      <c r="B31" t="s">
        <v>4</v>
      </c>
      <c r="C31" s="2" t="s">
        <v>5</v>
      </c>
      <c r="D31" t="s">
        <v>6</v>
      </c>
    </row>
    <row r="32" spans="1:4" hidden="1">
      <c r="A32" s="1">
        <v>1</v>
      </c>
      <c r="B32" t="s">
        <v>33</v>
      </c>
      <c r="C32">
        <v>30</v>
      </c>
      <c r="D32">
        <f>C32/$C$37*$C$45</f>
        <v>45</v>
      </c>
    </row>
    <row r="33" spans="1:10" hidden="1">
      <c r="A33" s="1">
        <v>2</v>
      </c>
      <c r="B33" t="s">
        <v>34</v>
      </c>
      <c r="C33">
        <v>30</v>
      </c>
      <c r="D33">
        <f>C33/$C$37*$C$45</f>
        <v>45</v>
      </c>
    </row>
    <row r="34" spans="1:10" hidden="1">
      <c r="A34" s="1">
        <v>3</v>
      </c>
      <c r="B34" t="s">
        <v>35</v>
      </c>
      <c r="C34">
        <v>10</v>
      </c>
      <c r="D34">
        <f>C34/$C$37*$C$45</f>
        <v>15</v>
      </c>
    </row>
    <row r="35" spans="1:10" hidden="1">
      <c r="A35" s="1">
        <v>4</v>
      </c>
      <c r="B35" t="s">
        <v>36</v>
      </c>
      <c r="C35">
        <v>20</v>
      </c>
      <c r="D35">
        <f>C35/$C$37*$C$45</f>
        <v>30</v>
      </c>
    </row>
    <row r="36" spans="1:10" hidden="1">
      <c r="A36" s="1">
        <v>5</v>
      </c>
      <c r="B36" t="s">
        <v>37</v>
      </c>
      <c r="C36">
        <v>10</v>
      </c>
      <c r="D36">
        <f>C36/$C$37*$C$45</f>
        <v>15</v>
      </c>
    </row>
    <row r="37" spans="1:10" hidden="1">
      <c r="A37" s="9" t="s">
        <v>21</v>
      </c>
      <c r="B37" s="9"/>
      <c r="C37">
        <f>SUM(C32:C36)</f>
        <v>100</v>
      </c>
      <c r="D37">
        <f>SUM(D32:D36)</f>
        <v>150</v>
      </c>
    </row>
    <row r="38" spans="1:10" hidden="1"/>
    <row r="39" spans="1:10" hidden="1">
      <c r="B39" t="s">
        <v>22</v>
      </c>
      <c r="C39" t="s">
        <v>38</v>
      </c>
    </row>
    <row r="40" spans="1:10" hidden="1"/>
    <row r="41" spans="1:10" hidden="1"/>
    <row r="42" spans="1:10" hidden="1">
      <c r="B42" t="s">
        <v>25</v>
      </c>
    </row>
    <row r="43" spans="1:10" hidden="1">
      <c r="B43" t="s">
        <v>27</v>
      </c>
      <c r="C43" s="4" t="s">
        <v>39</v>
      </c>
    </row>
    <row r="44" spans="1:10" hidden="1">
      <c r="B44" t="s">
        <v>29</v>
      </c>
      <c r="C44" t="s">
        <v>30</v>
      </c>
    </row>
    <row r="45" spans="1:10" hidden="1">
      <c r="B45" t="s">
        <v>31</v>
      </c>
      <c r="C45">
        <v>150</v>
      </c>
    </row>
    <row r="46" spans="1:10" hidden="1"/>
    <row r="47" spans="1:10" hidden="1">
      <c r="A47" s="10" t="s">
        <v>40</v>
      </c>
      <c r="B47" s="10"/>
      <c r="C47" s="10"/>
      <c r="D47" s="10"/>
    </row>
    <row r="48" spans="1:10" hidden="1">
      <c r="A48" s="1" t="s">
        <v>1</v>
      </c>
      <c r="B48" t="s">
        <v>4</v>
      </c>
      <c r="C48" s="2" t="s">
        <v>5</v>
      </c>
      <c r="D48" t="s">
        <v>6</v>
      </c>
      <c r="H48" s="10" t="s">
        <v>102</v>
      </c>
      <c r="I48" s="10"/>
      <c r="J48" s="10"/>
    </row>
    <row r="49" spans="1:9" hidden="1">
      <c r="A49" s="1">
        <v>1</v>
      </c>
      <c r="B49" t="s">
        <v>41</v>
      </c>
      <c r="C49" s="3">
        <f t="shared" ref="C49:C68" si="1">D49/$D$69*100</f>
        <v>53.191489361702125</v>
      </c>
      <c r="D49">
        <v>250</v>
      </c>
      <c r="H49" s="3">
        <v>53.2</v>
      </c>
      <c r="I49" t="s">
        <v>130</v>
      </c>
    </row>
    <row r="50" spans="1:9" hidden="1">
      <c r="A50" s="1">
        <v>2</v>
      </c>
      <c r="B50" t="s">
        <v>128</v>
      </c>
      <c r="C50" s="3">
        <f t="shared" si="1"/>
        <v>7.1489361702127647</v>
      </c>
      <c r="D50">
        <v>33.6</v>
      </c>
      <c r="H50" s="3">
        <v>9.5744680851063819</v>
      </c>
      <c r="I50" t="s">
        <v>129</v>
      </c>
    </row>
    <row r="51" spans="1:9" hidden="1">
      <c r="A51" s="1">
        <v>3</v>
      </c>
      <c r="B51" t="s">
        <v>8</v>
      </c>
      <c r="C51" s="3">
        <f t="shared" si="1"/>
        <v>3.2021276595744679</v>
      </c>
      <c r="D51">
        <v>15.049999999999999</v>
      </c>
      <c r="H51" s="3">
        <v>9.5744680851063819</v>
      </c>
      <c r="I51" t="s">
        <v>91</v>
      </c>
    </row>
    <row r="52" spans="1:9" hidden="1">
      <c r="A52" s="1">
        <v>4</v>
      </c>
      <c r="B52" t="s">
        <v>9</v>
      </c>
      <c r="C52" s="3">
        <f t="shared" si="1"/>
        <v>1.1914893617021276</v>
      </c>
      <c r="D52">
        <v>5.6000000000000005</v>
      </c>
      <c r="H52" s="3">
        <v>7.1489361702127647</v>
      </c>
      <c r="I52" t="s">
        <v>128</v>
      </c>
    </row>
    <row r="53" spans="1:9" hidden="1">
      <c r="A53" s="1">
        <v>5</v>
      </c>
      <c r="B53" t="s">
        <v>10</v>
      </c>
      <c r="C53" s="3">
        <f t="shared" si="1"/>
        <v>0.74468085106382975</v>
      </c>
      <c r="D53">
        <v>3.5</v>
      </c>
      <c r="H53" s="3">
        <v>6.3829787234042552</v>
      </c>
      <c r="I53" t="s">
        <v>127</v>
      </c>
    </row>
    <row r="54" spans="1:9" hidden="1">
      <c r="A54" s="1">
        <v>6</v>
      </c>
      <c r="B54" t="s">
        <v>11</v>
      </c>
      <c r="C54" s="3">
        <f t="shared" si="1"/>
        <v>0.5957446808510638</v>
      </c>
      <c r="D54">
        <v>2.8000000000000003</v>
      </c>
      <c r="H54" s="3">
        <v>3.2021276595744679</v>
      </c>
      <c r="I54" t="s">
        <v>8</v>
      </c>
    </row>
    <row r="55" spans="1:9" hidden="1">
      <c r="A55" s="1">
        <v>7</v>
      </c>
      <c r="B55" t="s">
        <v>12</v>
      </c>
      <c r="C55" s="3">
        <f t="shared" si="1"/>
        <v>0.4468085106382978</v>
      </c>
      <c r="D55">
        <v>2.1</v>
      </c>
      <c r="H55" s="3">
        <v>3.1914893617021276</v>
      </c>
      <c r="I55" t="s">
        <v>126</v>
      </c>
    </row>
    <row r="56" spans="1:9" hidden="1">
      <c r="A56" s="1">
        <v>8</v>
      </c>
      <c r="B56" t="s">
        <v>13</v>
      </c>
      <c r="C56" s="3">
        <f t="shared" si="1"/>
        <v>0.37234042553191488</v>
      </c>
      <c r="D56">
        <v>1.75</v>
      </c>
      <c r="H56" s="3">
        <v>3.1914893617021276</v>
      </c>
      <c r="I56" t="s">
        <v>125</v>
      </c>
    </row>
    <row r="57" spans="1:9" hidden="1">
      <c r="A57" s="1">
        <v>9</v>
      </c>
      <c r="B57" t="s">
        <v>14</v>
      </c>
      <c r="C57" s="3">
        <f t="shared" si="1"/>
        <v>0.2978723404255319</v>
      </c>
      <c r="D57">
        <v>1.4000000000000001</v>
      </c>
      <c r="H57" s="3">
        <v>1.1914893617021276</v>
      </c>
      <c r="I57" t="s">
        <v>9</v>
      </c>
    </row>
    <row r="58" spans="1:9" hidden="1">
      <c r="A58" s="1">
        <v>10</v>
      </c>
      <c r="B58" t="s">
        <v>15</v>
      </c>
      <c r="C58" s="3">
        <f t="shared" si="1"/>
        <v>0.2978723404255319</v>
      </c>
      <c r="D58">
        <v>1.4000000000000001</v>
      </c>
      <c r="H58" s="3">
        <v>0.74468085106382975</v>
      </c>
      <c r="I58" t="s">
        <v>10</v>
      </c>
    </row>
    <row r="59" spans="1:9" hidden="1">
      <c r="A59" s="1">
        <v>11</v>
      </c>
      <c r="B59" t="s">
        <v>16</v>
      </c>
      <c r="C59" s="3">
        <f t="shared" si="1"/>
        <v>0.14893617021276595</v>
      </c>
      <c r="D59">
        <v>0.70000000000000007</v>
      </c>
      <c r="H59" s="3">
        <v>0.5957446808510638</v>
      </c>
      <c r="I59" t="s">
        <v>11</v>
      </c>
    </row>
    <row r="60" spans="1:9" hidden="1">
      <c r="A60" s="1">
        <v>12</v>
      </c>
      <c r="B60" t="s">
        <v>17</v>
      </c>
      <c r="C60" s="3">
        <f t="shared" si="1"/>
        <v>0.14893617021276595</v>
      </c>
      <c r="D60">
        <v>0.70000000000000007</v>
      </c>
      <c r="H60" s="3">
        <v>0.4468085106382978</v>
      </c>
      <c r="I60" t="s">
        <v>12</v>
      </c>
    </row>
    <row r="61" spans="1:9" hidden="1">
      <c r="A61" s="1">
        <v>13</v>
      </c>
      <c r="B61" t="s">
        <v>18</v>
      </c>
      <c r="C61" s="3">
        <f t="shared" si="1"/>
        <v>0.14893617021276595</v>
      </c>
      <c r="D61">
        <v>0.70000000000000007</v>
      </c>
      <c r="H61" s="3">
        <v>0.37234042553191488</v>
      </c>
      <c r="I61" t="s">
        <v>13</v>
      </c>
    </row>
    <row r="62" spans="1:9" hidden="1">
      <c r="A62" s="1">
        <v>14</v>
      </c>
      <c r="B62" t="s">
        <v>19</v>
      </c>
      <c r="C62" s="3">
        <f t="shared" si="1"/>
        <v>7.4468085106382975E-2</v>
      </c>
      <c r="D62">
        <v>0.35000000000000003</v>
      </c>
      <c r="H62" s="3">
        <v>0.2978723404255319</v>
      </c>
      <c r="I62" t="s">
        <v>14</v>
      </c>
    </row>
    <row r="63" spans="1:9" hidden="1">
      <c r="A63" s="1">
        <v>15</v>
      </c>
      <c r="B63" t="s">
        <v>20</v>
      </c>
      <c r="C63" s="3">
        <f t="shared" si="1"/>
        <v>7.4468085106382975E-2</v>
      </c>
      <c r="D63">
        <v>0.35000000000000003</v>
      </c>
      <c r="H63" s="3">
        <v>0.2978723404255319</v>
      </c>
      <c r="I63" t="s">
        <v>15</v>
      </c>
    </row>
    <row r="64" spans="1:9" hidden="1">
      <c r="A64" s="1">
        <v>16</v>
      </c>
      <c r="B64" t="s">
        <v>34</v>
      </c>
      <c r="C64" s="3">
        <f t="shared" si="1"/>
        <v>9.5744680851063819</v>
      </c>
      <c r="D64">
        <v>45</v>
      </c>
      <c r="H64" s="3">
        <v>0.14893617021276595</v>
      </c>
      <c r="I64" t="s">
        <v>16</v>
      </c>
    </row>
    <row r="65" spans="1:9" hidden="1">
      <c r="A65" s="1">
        <v>17</v>
      </c>
      <c r="B65" t="s">
        <v>33</v>
      </c>
      <c r="C65" s="3">
        <f t="shared" si="1"/>
        <v>9.5744680851063819</v>
      </c>
      <c r="D65">
        <v>45</v>
      </c>
      <c r="H65" s="3">
        <v>0.14893617021276595</v>
      </c>
      <c r="I65" t="s">
        <v>17</v>
      </c>
    </row>
    <row r="66" spans="1:9" hidden="1">
      <c r="A66" s="1">
        <v>18</v>
      </c>
      <c r="B66" t="s">
        <v>124</v>
      </c>
      <c r="C66" s="3">
        <f t="shared" si="1"/>
        <v>3.1914893617021276</v>
      </c>
      <c r="D66">
        <v>15</v>
      </c>
      <c r="H66" s="3">
        <v>0.14893617021276595</v>
      </c>
      <c r="I66" t="s">
        <v>18</v>
      </c>
    </row>
    <row r="67" spans="1:9" hidden="1">
      <c r="A67" s="1">
        <v>19</v>
      </c>
      <c r="B67" t="s">
        <v>123</v>
      </c>
      <c r="C67" s="3">
        <f t="shared" si="1"/>
        <v>6.3829787234042552</v>
      </c>
      <c r="D67">
        <v>30</v>
      </c>
      <c r="H67" s="3">
        <v>7.4468085106382975E-2</v>
      </c>
      <c r="I67" t="s">
        <v>19</v>
      </c>
    </row>
    <row r="68" spans="1:9" hidden="1">
      <c r="A68" s="1">
        <v>20</v>
      </c>
      <c r="B68" t="s">
        <v>37</v>
      </c>
      <c r="C68" s="3">
        <f t="shared" si="1"/>
        <v>3.1914893617021276</v>
      </c>
      <c r="D68">
        <v>15</v>
      </c>
      <c r="H68" s="3">
        <v>7.4468085106382975E-2</v>
      </c>
      <c r="I68" t="s">
        <v>20</v>
      </c>
    </row>
    <row r="69" spans="1:9" hidden="1">
      <c r="A69" s="9" t="s">
        <v>21</v>
      </c>
      <c r="B69" s="9"/>
      <c r="C69">
        <f>SUM(C49:C68)</f>
        <v>100</v>
      </c>
      <c r="D69">
        <f>SUM(D49:D68)</f>
        <v>470.00000000000006</v>
      </c>
    </row>
    <row r="70" spans="1:9">
      <c r="B70" s="10" t="s">
        <v>146</v>
      </c>
      <c r="C70" s="10"/>
    </row>
    <row r="71" spans="1:9">
      <c r="B71" t="s">
        <v>2</v>
      </c>
      <c r="C71" t="s">
        <v>143</v>
      </c>
    </row>
    <row r="72" spans="1:9" ht="19.149999999999999">
      <c r="B72" t="s">
        <v>22</v>
      </c>
      <c r="C72" s="11" t="s">
        <v>154</v>
      </c>
    </row>
    <row r="73" spans="1:9" ht="19.149999999999999">
      <c r="C73" s="8" t="s">
        <v>155</v>
      </c>
    </row>
    <row r="74" spans="1:9" ht="19.149999999999999">
      <c r="B74" t="s">
        <v>31</v>
      </c>
      <c r="C74">
        <v>280</v>
      </c>
    </row>
    <row r="75" spans="1:9">
      <c r="B75" t="s">
        <v>25</v>
      </c>
      <c r="C75" t="s">
        <v>145</v>
      </c>
    </row>
    <row r="76" spans="1:9">
      <c r="B76" t="s">
        <v>27</v>
      </c>
      <c r="C76" t="s">
        <v>150</v>
      </c>
    </row>
    <row r="77" spans="1:9">
      <c r="B77" t="s">
        <v>67</v>
      </c>
      <c r="C77" t="s">
        <v>151</v>
      </c>
    </row>
    <row r="78" spans="1:9">
      <c r="B78" t="s">
        <v>43</v>
      </c>
      <c r="C78" t="s">
        <v>44</v>
      </c>
    </row>
    <row r="79" spans="1:9">
      <c r="B79" t="s">
        <v>98</v>
      </c>
      <c r="C79" t="s">
        <v>152</v>
      </c>
    </row>
    <row r="80" spans="1:9" ht="19.149999999999999"/>
    <row r="81" spans="2:3">
      <c r="B81" s="10" t="s">
        <v>147</v>
      </c>
      <c r="C81" s="10"/>
    </row>
    <row r="82" spans="2:3" ht="19.149999999999999">
      <c r="B82" t="s">
        <v>2</v>
      </c>
      <c r="C82" t="s">
        <v>148</v>
      </c>
    </row>
    <row r="83" spans="2:3" ht="19.149999999999999">
      <c r="B83" t="s">
        <v>22</v>
      </c>
      <c r="C83" s="11" t="s">
        <v>149</v>
      </c>
    </row>
    <row r="84" spans="2:3" ht="19.149999999999999">
      <c r="C84" t="s">
        <v>144</v>
      </c>
    </row>
    <row r="85" spans="2:3" ht="19.149999999999999">
      <c r="B85" t="s">
        <v>31</v>
      </c>
      <c r="C85">
        <v>130</v>
      </c>
    </row>
    <row r="86" spans="2:3">
      <c r="B86" t="s">
        <v>43</v>
      </c>
      <c r="C86" t="s">
        <v>44</v>
      </c>
    </row>
    <row r="87" spans="2:3">
      <c r="B87" t="s">
        <v>98</v>
      </c>
      <c r="C87" t="s">
        <v>152</v>
      </c>
    </row>
    <row r="88" spans="2:3">
      <c r="B88" t="s">
        <v>67</v>
      </c>
      <c r="C88" t="s">
        <v>153</v>
      </c>
    </row>
    <row r="89" spans="2:3">
      <c r="B89" t="s">
        <v>113</v>
      </c>
      <c r="C89" t="s">
        <v>114</v>
      </c>
    </row>
    <row r="90" spans="2:3">
      <c r="B90" t="s">
        <v>115</v>
      </c>
      <c r="C90" t="s">
        <v>116</v>
      </c>
    </row>
    <row r="92" spans="2:3">
      <c r="B92" t="s">
        <v>45</v>
      </c>
      <c r="C92" t="s">
        <v>103</v>
      </c>
    </row>
    <row r="93" spans="2:3">
      <c r="C93" t="s">
        <v>156</v>
      </c>
    </row>
    <row r="94" spans="2:3">
      <c r="C94" t="s">
        <v>157</v>
      </c>
    </row>
    <row r="95" spans="2:3">
      <c r="B95" t="s">
        <v>46</v>
      </c>
      <c r="C95" t="s">
        <v>119</v>
      </c>
    </row>
    <row r="96" spans="2:3">
      <c r="C96" t="s">
        <v>106</v>
      </c>
    </row>
    <row r="97" spans="3:3">
      <c r="C97" t="s">
        <v>118</v>
      </c>
    </row>
    <row r="98" spans="3:3">
      <c r="C98" t="s">
        <v>108</v>
      </c>
    </row>
    <row r="99" spans="3:3">
      <c r="C99" t="s">
        <v>133</v>
      </c>
    </row>
    <row r="100" spans="3:3">
      <c r="C100" t="s">
        <v>109</v>
      </c>
    </row>
    <row r="101" spans="3:3">
      <c r="C101" t="s">
        <v>110</v>
      </c>
    </row>
    <row r="102" spans="3:3">
      <c r="C102" t="s">
        <v>111</v>
      </c>
    </row>
  </sheetData>
  <mergeCells count="9">
    <mergeCell ref="A69:B69"/>
    <mergeCell ref="B70:C70"/>
    <mergeCell ref="B81:C81"/>
    <mergeCell ref="A2:D2"/>
    <mergeCell ref="A19:B19"/>
    <mergeCell ref="A30:D30"/>
    <mergeCell ref="A37:B37"/>
    <mergeCell ref="A47:D47"/>
    <mergeCell ref="H48:J4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3A23-EDFF-412B-A58E-82A6B1615BC3}">
  <dimension ref="A1:J92"/>
  <sheetViews>
    <sheetView topLeftCell="A70" workbookViewId="0">
      <selection activeCell="C72" sqref="C72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</cols>
  <sheetData>
    <row r="1" spans="1:4" hidden="1"/>
    <row r="2" spans="1:4" hidden="1">
      <c r="A2" s="10" t="s">
        <v>0</v>
      </c>
      <c r="B2" s="10"/>
      <c r="C2" s="10"/>
      <c r="D2" s="10"/>
    </row>
    <row r="3" spans="1:4" hidden="1">
      <c r="A3" s="1" t="s">
        <v>1</v>
      </c>
      <c r="B3" t="s">
        <v>2</v>
      </c>
      <c r="C3" t="s">
        <v>3</v>
      </c>
    </row>
    <row r="4" spans="1:4" hidden="1">
      <c r="A4" s="1">
        <v>1</v>
      </c>
      <c r="B4" t="s">
        <v>4</v>
      </c>
      <c r="C4" s="2" t="s">
        <v>5</v>
      </c>
      <c r="D4" t="s">
        <v>6</v>
      </c>
    </row>
    <row r="5" spans="1:4" hidden="1">
      <c r="A5" s="1">
        <v>2</v>
      </c>
      <c r="B5" t="s">
        <v>7</v>
      </c>
      <c r="C5" s="3">
        <v>48</v>
      </c>
      <c r="D5">
        <f t="shared" ref="D5:D18" si="0">C5/$C$19*$C$27</f>
        <v>33.6</v>
      </c>
    </row>
    <row r="6" spans="1:4" hidden="1">
      <c r="A6" s="1">
        <v>3</v>
      </c>
      <c r="B6" t="s">
        <v>8</v>
      </c>
      <c r="C6" s="3">
        <v>21.5</v>
      </c>
      <c r="D6">
        <f t="shared" si="0"/>
        <v>15.049999999999999</v>
      </c>
    </row>
    <row r="7" spans="1:4" hidden="1">
      <c r="A7" s="1">
        <v>4</v>
      </c>
      <c r="B7" t="s">
        <v>9</v>
      </c>
      <c r="C7" s="3">
        <v>8</v>
      </c>
      <c r="D7">
        <f t="shared" si="0"/>
        <v>5.6000000000000005</v>
      </c>
    </row>
    <row r="8" spans="1:4" hidden="1">
      <c r="A8" s="1">
        <v>5</v>
      </c>
      <c r="B8" t="s">
        <v>10</v>
      </c>
      <c r="C8" s="3">
        <v>5</v>
      </c>
      <c r="D8">
        <f t="shared" si="0"/>
        <v>3.5</v>
      </c>
    </row>
    <row r="9" spans="1:4" hidden="1">
      <c r="A9" s="1">
        <v>6</v>
      </c>
      <c r="B9" t="s">
        <v>11</v>
      </c>
      <c r="C9" s="3">
        <v>4</v>
      </c>
      <c r="D9">
        <f t="shared" si="0"/>
        <v>2.8000000000000003</v>
      </c>
    </row>
    <row r="10" spans="1:4" hidden="1">
      <c r="A10" s="1">
        <v>7</v>
      </c>
      <c r="B10" t="s">
        <v>12</v>
      </c>
      <c r="C10" s="3">
        <v>3</v>
      </c>
      <c r="D10">
        <f t="shared" si="0"/>
        <v>2.1</v>
      </c>
    </row>
    <row r="11" spans="1:4" hidden="1">
      <c r="A11" s="1">
        <v>8</v>
      </c>
      <c r="B11" t="s">
        <v>13</v>
      </c>
      <c r="C11" s="3">
        <v>2.5</v>
      </c>
      <c r="D11">
        <f t="shared" si="0"/>
        <v>1.75</v>
      </c>
    </row>
    <row r="12" spans="1:4" hidden="1">
      <c r="A12" s="1">
        <v>9</v>
      </c>
      <c r="B12" t="s">
        <v>14</v>
      </c>
      <c r="C12" s="3">
        <v>2</v>
      </c>
      <c r="D12">
        <f t="shared" si="0"/>
        <v>1.4000000000000001</v>
      </c>
    </row>
    <row r="13" spans="1:4" hidden="1">
      <c r="A13" s="1">
        <v>10</v>
      </c>
      <c r="B13" t="s">
        <v>15</v>
      </c>
      <c r="C13" s="3">
        <v>2</v>
      </c>
      <c r="D13">
        <f t="shared" si="0"/>
        <v>1.4000000000000001</v>
      </c>
    </row>
    <row r="14" spans="1:4" hidden="1">
      <c r="A14" s="1">
        <v>11</v>
      </c>
      <c r="B14" t="s">
        <v>16</v>
      </c>
      <c r="C14" s="3">
        <v>1</v>
      </c>
      <c r="D14">
        <f t="shared" si="0"/>
        <v>0.70000000000000007</v>
      </c>
    </row>
    <row r="15" spans="1:4" hidden="1">
      <c r="A15" s="1">
        <v>12</v>
      </c>
      <c r="B15" t="s">
        <v>17</v>
      </c>
      <c r="C15" s="3">
        <v>1</v>
      </c>
      <c r="D15">
        <f t="shared" si="0"/>
        <v>0.70000000000000007</v>
      </c>
    </row>
    <row r="16" spans="1:4" hidden="1">
      <c r="A16" s="1">
        <v>13</v>
      </c>
      <c r="B16" t="s">
        <v>18</v>
      </c>
      <c r="C16" s="3">
        <v>1</v>
      </c>
      <c r="D16">
        <f t="shared" si="0"/>
        <v>0.70000000000000007</v>
      </c>
    </row>
    <row r="17" spans="1:4" hidden="1">
      <c r="A17" s="1">
        <v>14</v>
      </c>
      <c r="B17" t="s">
        <v>19</v>
      </c>
      <c r="C17" s="3">
        <v>0.5</v>
      </c>
      <c r="D17">
        <f t="shared" si="0"/>
        <v>0.35000000000000003</v>
      </c>
    </row>
    <row r="18" spans="1:4" hidden="1">
      <c r="A18" s="1">
        <v>15</v>
      </c>
      <c r="B18" t="s">
        <v>20</v>
      </c>
      <c r="C18" s="3">
        <v>0.5</v>
      </c>
      <c r="D18">
        <f t="shared" si="0"/>
        <v>0.35000000000000003</v>
      </c>
    </row>
    <row r="19" spans="1:4" hidden="1">
      <c r="A19" s="9" t="s">
        <v>21</v>
      </c>
      <c r="B19" s="9"/>
      <c r="C19" s="3">
        <f>SUM(C5:C18)</f>
        <v>100</v>
      </c>
      <c r="D19" s="3">
        <f>SUM(D5:D18)</f>
        <v>70.000000000000014</v>
      </c>
    </row>
    <row r="20" spans="1:4" hidden="1"/>
    <row r="21" spans="1:4" hidden="1">
      <c r="B21" t="s">
        <v>22</v>
      </c>
      <c r="C21" t="s">
        <v>23</v>
      </c>
    </row>
    <row r="22" spans="1:4" hidden="1">
      <c r="C22" t="s">
        <v>24</v>
      </c>
    </row>
    <row r="23" spans="1:4" hidden="1"/>
    <row r="24" spans="1:4" hidden="1">
      <c r="B24" t="s">
        <v>25</v>
      </c>
      <c r="C24" t="s">
        <v>26</v>
      </c>
    </row>
    <row r="25" spans="1:4" hidden="1">
      <c r="B25" t="s">
        <v>27</v>
      </c>
      <c r="C25" t="s">
        <v>28</v>
      </c>
    </row>
    <row r="26" spans="1:4" hidden="1">
      <c r="B26" t="s">
        <v>29</v>
      </c>
      <c r="C26" t="s">
        <v>30</v>
      </c>
    </row>
    <row r="27" spans="1:4" hidden="1">
      <c r="B27" t="s">
        <v>31</v>
      </c>
      <c r="C27">
        <v>70</v>
      </c>
    </row>
    <row r="28" spans="1:4" hidden="1"/>
    <row r="29" spans="1:4" hidden="1"/>
    <row r="30" spans="1:4" hidden="1">
      <c r="A30" s="10" t="s">
        <v>32</v>
      </c>
      <c r="B30" s="10"/>
      <c r="C30" s="10"/>
      <c r="D30" s="10"/>
    </row>
    <row r="31" spans="1:4" hidden="1">
      <c r="A31" s="1" t="s">
        <v>1</v>
      </c>
      <c r="B31" t="s">
        <v>4</v>
      </c>
      <c r="C31" s="2" t="s">
        <v>5</v>
      </c>
      <c r="D31" t="s">
        <v>6</v>
      </c>
    </row>
    <row r="32" spans="1:4" hidden="1">
      <c r="A32" s="1">
        <v>1</v>
      </c>
      <c r="B32" t="s">
        <v>33</v>
      </c>
      <c r="C32">
        <v>30</v>
      </c>
      <c r="D32">
        <f>C32/$C$37*$C$45</f>
        <v>45</v>
      </c>
    </row>
    <row r="33" spans="1:10" hidden="1">
      <c r="A33" s="1">
        <v>2</v>
      </c>
      <c r="B33" t="s">
        <v>34</v>
      </c>
      <c r="C33">
        <v>30</v>
      </c>
      <c r="D33">
        <f>C33/$C$37*$C$45</f>
        <v>45</v>
      </c>
    </row>
    <row r="34" spans="1:10" hidden="1">
      <c r="A34" s="1">
        <v>3</v>
      </c>
      <c r="B34" t="s">
        <v>35</v>
      </c>
      <c r="C34">
        <v>10</v>
      </c>
      <c r="D34">
        <f>C34/$C$37*$C$45</f>
        <v>15</v>
      </c>
    </row>
    <row r="35" spans="1:10" hidden="1">
      <c r="A35" s="1">
        <v>4</v>
      </c>
      <c r="B35" t="s">
        <v>36</v>
      </c>
      <c r="C35">
        <v>20</v>
      </c>
      <c r="D35">
        <f>C35/$C$37*$C$45</f>
        <v>30</v>
      </c>
    </row>
    <row r="36" spans="1:10" hidden="1">
      <c r="A36" s="1">
        <v>5</v>
      </c>
      <c r="B36" t="s">
        <v>37</v>
      </c>
      <c r="C36">
        <v>10</v>
      </c>
      <c r="D36">
        <f>C36/$C$37*$C$45</f>
        <v>15</v>
      </c>
    </row>
    <row r="37" spans="1:10" hidden="1">
      <c r="A37" s="9" t="s">
        <v>21</v>
      </c>
      <c r="B37" s="9"/>
      <c r="C37">
        <f>SUM(C32:C36)</f>
        <v>100</v>
      </c>
      <c r="D37">
        <f>SUM(D32:D36)</f>
        <v>150</v>
      </c>
    </row>
    <row r="38" spans="1:10" hidden="1"/>
    <row r="39" spans="1:10" hidden="1">
      <c r="B39" t="s">
        <v>22</v>
      </c>
      <c r="C39" t="s">
        <v>38</v>
      </c>
    </row>
    <row r="40" spans="1:10" hidden="1"/>
    <row r="41" spans="1:10" hidden="1"/>
    <row r="42" spans="1:10" hidden="1">
      <c r="B42" t="s">
        <v>25</v>
      </c>
    </row>
    <row r="43" spans="1:10" hidden="1">
      <c r="B43" t="s">
        <v>27</v>
      </c>
      <c r="C43" s="4" t="s">
        <v>39</v>
      </c>
    </row>
    <row r="44" spans="1:10" hidden="1">
      <c r="B44" t="s">
        <v>29</v>
      </c>
      <c r="C44" t="s">
        <v>30</v>
      </c>
    </row>
    <row r="45" spans="1:10" hidden="1">
      <c r="B45" t="s">
        <v>31</v>
      </c>
      <c r="C45">
        <v>150</v>
      </c>
    </row>
    <row r="46" spans="1:10" hidden="1"/>
    <row r="47" spans="1:10" hidden="1">
      <c r="A47" s="10" t="s">
        <v>40</v>
      </c>
      <c r="B47" s="10"/>
      <c r="C47" s="10"/>
      <c r="D47" s="10"/>
    </row>
    <row r="48" spans="1:10" hidden="1">
      <c r="A48" s="1" t="s">
        <v>1</v>
      </c>
      <c r="B48" t="s">
        <v>4</v>
      </c>
      <c r="C48" s="2" t="s">
        <v>5</v>
      </c>
      <c r="D48" t="s">
        <v>6</v>
      </c>
      <c r="H48" s="10" t="s">
        <v>102</v>
      </c>
      <c r="I48" s="10"/>
      <c r="J48" s="10"/>
    </row>
    <row r="49" spans="1:9" hidden="1">
      <c r="A49" s="1">
        <v>1</v>
      </c>
      <c r="B49" t="s">
        <v>41</v>
      </c>
      <c r="C49" s="3">
        <f t="shared" ref="C49:C68" si="1">D49/$D$69*100</f>
        <v>53.191489361702125</v>
      </c>
      <c r="D49">
        <v>250</v>
      </c>
      <c r="H49" s="3">
        <v>53.2</v>
      </c>
      <c r="I49" t="s">
        <v>130</v>
      </c>
    </row>
    <row r="50" spans="1:9" hidden="1">
      <c r="A50" s="1">
        <v>2</v>
      </c>
      <c r="B50" t="s">
        <v>128</v>
      </c>
      <c r="C50" s="3">
        <f t="shared" si="1"/>
        <v>7.1489361702127647</v>
      </c>
      <c r="D50">
        <v>33.6</v>
      </c>
      <c r="H50" s="3">
        <v>9.5744680851063819</v>
      </c>
      <c r="I50" t="s">
        <v>129</v>
      </c>
    </row>
    <row r="51" spans="1:9" hidden="1">
      <c r="A51" s="1">
        <v>3</v>
      </c>
      <c r="B51" t="s">
        <v>8</v>
      </c>
      <c r="C51" s="3">
        <f t="shared" si="1"/>
        <v>3.2021276595744679</v>
      </c>
      <c r="D51">
        <v>15.049999999999999</v>
      </c>
      <c r="H51" s="3">
        <v>9.5744680851063819</v>
      </c>
      <c r="I51" t="s">
        <v>91</v>
      </c>
    </row>
    <row r="52" spans="1:9" hidden="1">
      <c r="A52" s="1">
        <v>4</v>
      </c>
      <c r="B52" t="s">
        <v>9</v>
      </c>
      <c r="C52" s="3">
        <f t="shared" si="1"/>
        <v>1.1914893617021276</v>
      </c>
      <c r="D52">
        <v>5.6000000000000005</v>
      </c>
      <c r="H52" s="3">
        <v>7.1489361702127647</v>
      </c>
      <c r="I52" t="s">
        <v>128</v>
      </c>
    </row>
    <row r="53" spans="1:9" hidden="1">
      <c r="A53" s="1">
        <v>5</v>
      </c>
      <c r="B53" t="s">
        <v>10</v>
      </c>
      <c r="C53" s="3">
        <f t="shared" si="1"/>
        <v>0.74468085106382975</v>
      </c>
      <c r="D53">
        <v>3.5</v>
      </c>
      <c r="H53" s="3">
        <v>6.3829787234042552</v>
      </c>
      <c r="I53" t="s">
        <v>127</v>
      </c>
    </row>
    <row r="54" spans="1:9" hidden="1">
      <c r="A54" s="1">
        <v>6</v>
      </c>
      <c r="B54" t="s">
        <v>11</v>
      </c>
      <c r="C54" s="3">
        <f t="shared" si="1"/>
        <v>0.5957446808510638</v>
      </c>
      <c r="D54">
        <v>2.8000000000000003</v>
      </c>
      <c r="H54" s="3">
        <v>3.2021276595744679</v>
      </c>
      <c r="I54" t="s">
        <v>8</v>
      </c>
    </row>
    <row r="55" spans="1:9" hidden="1">
      <c r="A55" s="1">
        <v>7</v>
      </c>
      <c r="B55" t="s">
        <v>12</v>
      </c>
      <c r="C55" s="3">
        <f t="shared" si="1"/>
        <v>0.4468085106382978</v>
      </c>
      <c r="D55">
        <v>2.1</v>
      </c>
      <c r="H55" s="3">
        <v>3.1914893617021276</v>
      </c>
      <c r="I55" t="s">
        <v>126</v>
      </c>
    </row>
    <row r="56" spans="1:9" hidden="1">
      <c r="A56" s="1">
        <v>8</v>
      </c>
      <c r="B56" t="s">
        <v>13</v>
      </c>
      <c r="C56" s="3">
        <f t="shared" si="1"/>
        <v>0.37234042553191488</v>
      </c>
      <c r="D56">
        <v>1.75</v>
      </c>
      <c r="H56" s="3">
        <v>3.1914893617021276</v>
      </c>
      <c r="I56" t="s">
        <v>125</v>
      </c>
    </row>
    <row r="57" spans="1:9" hidden="1">
      <c r="A57" s="1">
        <v>9</v>
      </c>
      <c r="B57" t="s">
        <v>14</v>
      </c>
      <c r="C57" s="3">
        <f t="shared" si="1"/>
        <v>0.2978723404255319</v>
      </c>
      <c r="D57">
        <v>1.4000000000000001</v>
      </c>
      <c r="H57" s="3">
        <v>1.1914893617021276</v>
      </c>
      <c r="I57" t="s">
        <v>9</v>
      </c>
    </row>
    <row r="58" spans="1:9" hidden="1">
      <c r="A58" s="1">
        <v>10</v>
      </c>
      <c r="B58" t="s">
        <v>15</v>
      </c>
      <c r="C58" s="3">
        <f t="shared" si="1"/>
        <v>0.2978723404255319</v>
      </c>
      <c r="D58">
        <v>1.4000000000000001</v>
      </c>
      <c r="H58" s="3">
        <v>0.74468085106382975</v>
      </c>
      <c r="I58" t="s">
        <v>10</v>
      </c>
    </row>
    <row r="59" spans="1:9" hidden="1">
      <c r="A59" s="1">
        <v>11</v>
      </c>
      <c r="B59" t="s">
        <v>16</v>
      </c>
      <c r="C59" s="3">
        <f t="shared" si="1"/>
        <v>0.14893617021276595</v>
      </c>
      <c r="D59">
        <v>0.70000000000000007</v>
      </c>
      <c r="H59" s="3">
        <v>0.5957446808510638</v>
      </c>
      <c r="I59" t="s">
        <v>11</v>
      </c>
    </row>
    <row r="60" spans="1:9" hidden="1">
      <c r="A60" s="1">
        <v>12</v>
      </c>
      <c r="B60" t="s">
        <v>17</v>
      </c>
      <c r="C60" s="3">
        <f t="shared" si="1"/>
        <v>0.14893617021276595</v>
      </c>
      <c r="D60">
        <v>0.70000000000000007</v>
      </c>
      <c r="H60" s="3">
        <v>0.4468085106382978</v>
      </c>
      <c r="I60" t="s">
        <v>12</v>
      </c>
    </row>
    <row r="61" spans="1:9" hidden="1">
      <c r="A61" s="1">
        <v>13</v>
      </c>
      <c r="B61" t="s">
        <v>18</v>
      </c>
      <c r="C61" s="3">
        <f t="shared" si="1"/>
        <v>0.14893617021276595</v>
      </c>
      <c r="D61">
        <v>0.70000000000000007</v>
      </c>
      <c r="H61" s="3">
        <v>0.37234042553191488</v>
      </c>
      <c r="I61" t="s">
        <v>13</v>
      </c>
    </row>
    <row r="62" spans="1:9" hidden="1">
      <c r="A62" s="1">
        <v>14</v>
      </c>
      <c r="B62" t="s">
        <v>19</v>
      </c>
      <c r="C62" s="3">
        <f t="shared" si="1"/>
        <v>7.4468085106382975E-2</v>
      </c>
      <c r="D62">
        <v>0.35000000000000003</v>
      </c>
      <c r="H62" s="3">
        <v>0.2978723404255319</v>
      </c>
      <c r="I62" t="s">
        <v>14</v>
      </c>
    </row>
    <row r="63" spans="1:9" hidden="1">
      <c r="A63" s="1">
        <v>15</v>
      </c>
      <c r="B63" t="s">
        <v>20</v>
      </c>
      <c r="C63" s="3">
        <f t="shared" si="1"/>
        <v>7.4468085106382975E-2</v>
      </c>
      <c r="D63">
        <v>0.35000000000000003</v>
      </c>
      <c r="H63" s="3">
        <v>0.2978723404255319</v>
      </c>
      <c r="I63" t="s">
        <v>15</v>
      </c>
    </row>
    <row r="64" spans="1:9" hidden="1">
      <c r="A64" s="1">
        <v>16</v>
      </c>
      <c r="B64" t="s">
        <v>34</v>
      </c>
      <c r="C64" s="3">
        <f t="shared" si="1"/>
        <v>9.5744680851063819</v>
      </c>
      <c r="D64">
        <v>45</v>
      </c>
      <c r="H64" s="3">
        <v>0.14893617021276595</v>
      </c>
      <c r="I64" t="s">
        <v>16</v>
      </c>
    </row>
    <row r="65" spans="1:9" hidden="1">
      <c r="A65" s="1">
        <v>17</v>
      </c>
      <c r="B65" t="s">
        <v>33</v>
      </c>
      <c r="C65" s="3">
        <f t="shared" si="1"/>
        <v>9.5744680851063819</v>
      </c>
      <c r="D65">
        <v>45</v>
      </c>
      <c r="H65" s="3">
        <v>0.14893617021276595</v>
      </c>
      <c r="I65" t="s">
        <v>17</v>
      </c>
    </row>
    <row r="66" spans="1:9" hidden="1">
      <c r="A66" s="1">
        <v>18</v>
      </c>
      <c r="B66" t="s">
        <v>124</v>
      </c>
      <c r="C66" s="3">
        <f t="shared" si="1"/>
        <v>3.1914893617021276</v>
      </c>
      <c r="D66">
        <v>15</v>
      </c>
      <c r="H66" s="3">
        <v>0.14893617021276595</v>
      </c>
      <c r="I66" t="s">
        <v>18</v>
      </c>
    </row>
    <row r="67" spans="1:9" hidden="1">
      <c r="A67" s="1">
        <v>19</v>
      </c>
      <c r="B67" t="s">
        <v>123</v>
      </c>
      <c r="C67" s="3">
        <f t="shared" si="1"/>
        <v>6.3829787234042552</v>
      </c>
      <c r="D67">
        <v>30</v>
      </c>
      <c r="H67" s="3">
        <v>7.4468085106382975E-2</v>
      </c>
      <c r="I67" t="s">
        <v>19</v>
      </c>
    </row>
    <row r="68" spans="1:9" hidden="1">
      <c r="A68" s="1">
        <v>20</v>
      </c>
      <c r="B68" t="s">
        <v>37</v>
      </c>
      <c r="C68" s="3">
        <f t="shared" si="1"/>
        <v>3.1914893617021276</v>
      </c>
      <c r="D68">
        <v>15</v>
      </c>
      <c r="H68" s="3">
        <v>7.4468085106382975E-2</v>
      </c>
      <c r="I68" t="s">
        <v>20</v>
      </c>
    </row>
    <row r="69" spans="1:9" hidden="1">
      <c r="A69" s="9" t="s">
        <v>21</v>
      </c>
      <c r="B69" s="9"/>
      <c r="C69">
        <f>SUM(C49:C68)</f>
        <v>100</v>
      </c>
      <c r="D69">
        <f>SUM(D49:D68)</f>
        <v>470.00000000000006</v>
      </c>
    </row>
    <row r="71" spans="1:9">
      <c r="B71" t="s">
        <v>2</v>
      </c>
      <c r="C71" t="s">
        <v>158</v>
      </c>
    </row>
    <row r="72" spans="1:9" ht="19.149999999999999">
      <c r="B72" t="s">
        <v>22</v>
      </c>
      <c r="C72" s="8" t="s">
        <v>163</v>
      </c>
    </row>
    <row r="73" spans="1:9" ht="19.149999999999999">
      <c r="C73" t="s">
        <v>161</v>
      </c>
    </row>
    <row r="74" spans="1:9" ht="19.149999999999999">
      <c r="C74" s="11" t="s">
        <v>160</v>
      </c>
    </row>
    <row r="75" spans="1:9">
      <c r="B75" t="s">
        <v>25</v>
      </c>
      <c r="C75" t="s">
        <v>162</v>
      </c>
    </row>
    <row r="76" spans="1:9">
      <c r="B76" t="s">
        <v>27</v>
      </c>
      <c r="C76" t="s">
        <v>42</v>
      </c>
    </row>
    <row r="77" spans="1:9">
      <c r="B77" t="s">
        <v>31</v>
      </c>
      <c r="C77">
        <v>550</v>
      </c>
    </row>
    <row r="78" spans="1:9">
      <c r="B78" t="s">
        <v>43</v>
      </c>
      <c r="C78" t="s">
        <v>44</v>
      </c>
    </row>
    <row r="79" spans="1:9">
      <c r="B79" t="s">
        <v>98</v>
      </c>
      <c r="C79" t="s">
        <v>152</v>
      </c>
    </row>
    <row r="80" spans="1:9">
      <c r="B80" t="s">
        <v>67</v>
      </c>
      <c r="C80" t="s">
        <v>117</v>
      </c>
    </row>
    <row r="81" spans="2:3">
      <c r="B81" t="s">
        <v>113</v>
      </c>
      <c r="C81" t="s">
        <v>114</v>
      </c>
    </row>
    <row r="82" spans="2:3">
      <c r="B82" t="s">
        <v>115</v>
      </c>
      <c r="C82" t="s">
        <v>116</v>
      </c>
    </row>
    <row r="84" spans="2:3">
      <c r="B84" t="s">
        <v>45</v>
      </c>
      <c r="C84" t="s">
        <v>103</v>
      </c>
    </row>
    <row r="85" spans="2:3">
      <c r="C85" t="s">
        <v>159</v>
      </c>
    </row>
    <row r="86" spans="2:3">
      <c r="B86" t="s">
        <v>46</v>
      </c>
      <c r="C86" t="s">
        <v>119</v>
      </c>
    </row>
    <row r="87" spans="2:3">
      <c r="C87" t="s">
        <v>106</v>
      </c>
    </row>
    <row r="88" spans="2:3">
      <c r="C88" t="s">
        <v>118</v>
      </c>
    </row>
    <row r="89" spans="2:3">
      <c r="C89" t="s">
        <v>133</v>
      </c>
    </row>
    <row r="90" spans="2:3">
      <c r="C90" t="s">
        <v>109</v>
      </c>
    </row>
    <row r="91" spans="2:3">
      <c r="C91" t="s">
        <v>110</v>
      </c>
    </row>
    <row r="92" spans="2:3">
      <c r="C92" t="s">
        <v>111</v>
      </c>
    </row>
  </sheetData>
  <mergeCells count="7">
    <mergeCell ref="A69:B69"/>
    <mergeCell ref="A2:D2"/>
    <mergeCell ref="A19:B19"/>
    <mergeCell ref="A30:D30"/>
    <mergeCell ref="A37:B37"/>
    <mergeCell ref="A47:D47"/>
    <mergeCell ref="H48:J48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47DC-C964-4A2A-A801-2A9D1878ECFF}">
  <dimension ref="A1:J93"/>
  <sheetViews>
    <sheetView tabSelected="1" topLeftCell="A70" workbookViewId="0">
      <selection activeCell="H79" sqref="H79"/>
    </sheetView>
  </sheetViews>
  <sheetFormatPr defaultRowHeight="16.899999999999999"/>
  <cols>
    <col min="1" max="1" width="9" style="1"/>
    <col min="2" max="2" width="21.125" bestFit="1" customWidth="1"/>
    <col min="3" max="3" width="33.8125" customWidth="1"/>
  </cols>
  <sheetData>
    <row r="1" spans="1:4" hidden="1"/>
    <row r="2" spans="1:4" hidden="1">
      <c r="A2" s="10" t="s">
        <v>0</v>
      </c>
      <c r="B2" s="10"/>
      <c r="C2" s="10"/>
      <c r="D2" s="10"/>
    </row>
    <row r="3" spans="1:4" hidden="1">
      <c r="A3" s="1" t="s">
        <v>1</v>
      </c>
      <c r="B3" t="s">
        <v>2</v>
      </c>
      <c r="C3" t="s">
        <v>3</v>
      </c>
    </row>
    <row r="4" spans="1:4" hidden="1">
      <c r="A4" s="1">
        <v>1</v>
      </c>
      <c r="B4" t="s">
        <v>4</v>
      </c>
      <c r="C4" s="2" t="s">
        <v>5</v>
      </c>
      <c r="D4" t="s">
        <v>6</v>
      </c>
    </row>
    <row r="5" spans="1:4" hidden="1">
      <c r="A5" s="1">
        <v>2</v>
      </c>
      <c r="B5" t="s">
        <v>7</v>
      </c>
      <c r="C5" s="3">
        <v>48</v>
      </c>
      <c r="D5">
        <f t="shared" ref="D5:D18" si="0">C5/$C$19*$C$27</f>
        <v>33.6</v>
      </c>
    </row>
    <row r="6" spans="1:4" hidden="1">
      <c r="A6" s="1">
        <v>3</v>
      </c>
      <c r="B6" t="s">
        <v>8</v>
      </c>
      <c r="C6" s="3">
        <v>21.5</v>
      </c>
      <c r="D6">
        <f t="shared" si="0"/>
        <v>15.049999999999999</v>
      </c>
    </row>
    <row r="7" spans="1:4" hidden="1">
      <c r="A7" s="1">
        <v>4</v>
      </c>
      <c r="B7" t="s">
        <v>9</v>
      </c>
      <c r="C7" s="3">
        <v>8</v>
      </c>
      <c r="D7">
        <f t="shared" si="0"/>
        <v>5.6000000000000005</v>
      </c>
    </row>
    <row r="8" spans="1:4" hidden="1">
      <c r="A8" s="1">
        <v>5</v>
      </c>
      <c r="B8" t="s">
        <v>10</v>
      </c>
      <c r="C8" s="3">
        <v>5</v>
      </c>
      <c r="D8">
        <f t="shared" si="0"/>
        <v>3.5</v>
      </c>
    </row>
    <row r="9" spans="1:4" hidden="1">
      <c r="A9" s="1">
        <v>6</v>
      </c>
      <c r="B9" t="s">
        <v>11</v>
      </c>
      <c r="C9" s="3">
        <v>4</v>
      </c>
      <c r="D9">
        <f t="shared" si="0"/>
        <v>2.8000000000000003</v>
      </c>
    </row>
    <row r="10" spans="1:4" hidden="1">
      <c r="A10" s="1">
        <v>7</v>
      </c>
      <c r="B10" t="s">
        <v>12</v>
      </c>
      <c r="C10" s="3">
        <v>3</v>
      </c>
      <c r="D10">
        <f t="shared" si="0"/>
        <v>2.1</v>
      </c>
    </row>
    <row r="11" spans="1:4" hidden="1">
      <c r="A11" s="1">
        <v>8</v>
      </c>
      <c r="B11" t="s">
        <v>13</v>
      </c>
      <c r="C11" s="3">
        <v>2.5</v>
      </c>
      <c r="D11">
        <f t="shared" si="0"/>
        <v>1.75</v>
      </c>
    </row>
    <row r="12" spans="1:4" hidden="1">
      <c r="A12" s="1">
        <v>9</v>
      </c>
      <c r="B12" t="s">
        <v>14</v>
      </c>
      <c r="C12" s="3">
        <v>2</v>
      </c>
      <c r="D12">
        <f t="shared" si="0"/>
        <v>1.4000000000000001</v>
      </c>
    </row>
    <row r="13" spans="1:4" hidden="1">
      <c r="A13" s="1">
        <v>10</v>
      </c>
      <c r="B13" t="s">
        <v>15</v>
      </c>
      <c r="C13" s="3">
        <v>2</v>
      </c>
      <c r="D13">
        <f t="shared" si="0"/>
        <v>1.4000000000000001</v>
      </c>
    </row>
    <row r="14" spans="1:4" hidden="1">
      <c r="A14" s="1">
        <v>11</v>
      </c>
      <c r="B14" t="s">
        <v>16</v>
      </c>
      <c r="C14" s="3">
        <v>1</v>
      </c>
      <c r="D14">
        <f t="shared" si="0"/>
        <v>0.70000000000000007</v>
      </c>
    </row>
    <row r="15" spans="1:4" hidden="1">
      <c r="A15" s="1">
        <v>12</v>
      </c>
      <c r="B15" t="s">
        <v>17</v>
      </c>
      <c r="C15" s="3">
        <v>1</v>
      </c>
      <c r="D15">
        <f t="shared" si="0"/>
        <v>0.70000000000000007</v>
      </c>
    </row>
    <row r="16" spans="1:4" hidden="1">
      <c r="A16" s="1">
        <v>13</v>
      </c>
      <c r="B16" t="s">
        <v>18</v>
      </c>
      <c r="C16" s="3">
        <v>1</v>
      </c>
      <c r="D16">
        <f t="shared" si="0"/>
        <v>0.70000000000000007</v>
      </c>
    </row>
    <row r="17" spans="1:4" hidden="1">
      <c r="A17" s="1">
        <v>14</v>
      </c>
      <c r="B17" t="s">
        <v>19</v>
      </c>
      <c r="C17" s="3">
        <v>0.5</v>
      </c>
      <c r="D17">
        <f t="shared" si="0"/>
        <v>0.35000000000000003</v>
      </c>
    </row>
    <row r="18" spans="1:4" hidden="1">
      <c r="A18" s="1">
        <v>15</v>
      </c>
      <c r="B18" t="s">
        <v>20</v>
      </c>
      <c r="C18" s="3">
        <v>0.5</v>
      </c>
      <c r="D18">
        <f t="shared" si="0"/>
        <v>0.35000000000000003</v>
      </c>
    </row>
    <row r="19" spans="1:4" hidden="1">
      <c r="A19" s="9" t="s">
        <v>21</v>
      </c>
      <c r="B19" s="9"/>
      <c r="C19" s="3">
        <f>SUM(C5:C18)</f>
        <v>100</v>
      </c>
      <c r="D19" s="3">
        <f>SUM(D5:D18)</f>
        <v>70.000000000000014</v>
      </c>
    </row>
    <row r="20" spans="1:4" hidden="1"/>
    <row r="21" spans="1:4" hidden="1">
      <c r="B21" t="s">
        <v>22</v>
      </c>
      <c r="C21" t="s">
        <v>23</v>
      </c>
    </row>
    <row r="22" spans="1:4" hidden="1">
      <c r="C22" t="s">
        <v>24</v>
      </c>
    </row>
    <row r="23" spans="1:4" hidden="1"/>
    <row r="24" spans="1:4" hidden="1">
      <c r="B24" t="s">
        <v>25</v>
      </c>
      <c r="C24" t="s">
        <v>26</v>
      </c>
    </row>
    <row r="25" spans="1:4" hidden="1">
      <c r="B25" t="s">
        <v>27</v>
      </c>
      <c r="C25" t="s">
        <v>28</v>
      </c>
    </row>
    <row r="26" spans="1:4" hidden="1">
      <c r="B26" t="s">
        <v>29</v>
      </c>
      <c r="C26" t="s">
        <v>30</v>
      </c>
    </row>
    <row r="27" spans="1:4" hidden="1">
      <c r="B27" t="s">
        <v>31</v>
      </c>
      <c r="C27">
        <v>70</v>
      </c>
    </row>
    <row r="28" spans="1:4" hidden="1"/>
    <row r="29" spans="1:4" hidden="1"/>
    <row r="30" spans="1:4" hidden="1">
      <c r="A30" s="10" t="s">
        <v>32</v>
      </c>
      <c r="B30" s="10"/>
      <c r="C30" s="10"/>
      <c r="D30" s="10"/>
    </row>
    <row r="31" spans="1:4" hidden="1">
      <c r="A31" s="1" t="s">
        <v>1</v>
      </c>
      <c r="B31" t="s">
        <v>4</v>
      </c>
      <c r="C31" s="2" t="s">
        <v>5</v>
      </c>
      <c r="D31" t="s">
        <v>6</v>
      </c>
    </row>
    <row r="32" spans="1:4" hidden="1">
      <c r="A32" s="1">
        <v>1</v>
      </c>
      <c r="B32" t="s">
        <v>33</v>
      </c>
      <c r="C32">
        <v>30</v>
      </c>
      <c r="D32">
        <f>C32/$C$37*$C$45</f>
        <v>45</v>
      </c>
    </row>
    <row r="33" spans="1:10" hidden="1">
      <c r="A33" s="1">
        <v>2</v>
      </c>
      <c r="B33" t="s">
        <v>34</v>
      </c>
      <c r="C33">
        <v>30</v>
      </c>
      <c r="D33">
        <f>C33/$C$37*$C$45</f>
        <v>45</v>
      </c>
    </row>
    <row r="34" spans="1:10" hidden="1">
      <c r="A34" s="1">
        <v>3</v>
      </c>
      <c r="B34" t="s">
        <v>35</v>
      </c>
      <c r="C34">
        <v>10</v>
      </c>
      <c r="D34">
        <f>C34/$C$37*$C$45</f>
        <v>15</v>
      </c>
    </row>
    <row r="35" spans="1:10" hidden="1">
      <c r="A35" s="1">
        <v>4</v>
      </c>
      <c r="B35" t="s">
        <v>36</v>
      </c>
      <c r="C35">
        <v>20</v>
      </c>
      <c r="D35">
        <f>C35/$C$37*$C$45</f>
        <v>30</v>
      </c>
    </row>
    <row r="36" spans="1:10" hidden="1">
      <c r="A36" s="1">
        <v>5</v>
      </c>
      <c r="B36" t="s">
        <v>37</v>
      </c>
      <c r="C36">
        <v>10</v>
      </c>
      <c r="D36">
        <f>C36/$C$37*$C$45</f>
        <v>15</v>
      </c>
    </row>
    <row r="37" spans="1:10" hidden="1">
      <c r="A37" s="9" t="s">
        <v>21</v>
      </c>
      <c r="B37" s="9"/>
      <c r="C37">
        <f>SUM(C32:C36)</f>
        <v>100</v>
      </c>
      <c r="D37">
        <f>SUM(D32:D36)</f>
        <v>150</v>
      </c>
    </row>
    <row r="38" spans="1:10" hidden="1"/>
    <row r="39" spans="1:10" hidden="1">
      <c r="B39" t="s">
        <v>22</v>
      </c>
      <c r="C39" t="s">
        <v>38</v>
      </c>
    </row>
    <row r="40" spans="1:10" hidden="1"/>
    <row r="41" spans="1:10" hidden="1"/>
    <row r="42" spans="1:10" hidden="1">
      <c r="B42" t="s">
        <v>25</v>
      </c>
    </row>
    <row r="43" spans="1:10" hidden="1">
      <c r="B43" t="s">
        <v>27</v>
      </c>
      <c r="C43" s="4" t="s">
        <v>39</v>
      </c>
    </row>
    <row r="44" spans="1:10" hidden="1">
      <c r="B44" t="s">
        <v>29</v>
      </c>
      <c r="C44" t="s">
        <v>30</v>
      </c>
    </row>
    <row r="45" spans="1:10" hidden="1">
      <c r="B45" t="s">
        <v>31</v>
      </c>
      <c r="C45">
        <v>150</v>
      </c>
    </row>
    <row r="46" spans="1:10" hidden="1"/>
    <row r="47" spans="1:10" hidden="1">
      <c r="A47" s="10" t="s">
        <v>40</v>
      </c>
      <c r="B47" s="10"/>
      <c r="C47" s="10"/>
      <c r="D47" s="10"/>
    </row>
    <row r="48" spans="1:10" hidden="1">
      <c r="A48" s="1" t="s">
        <v>1</v>
      </c>
      <c r="B48" t="s">
        <v>4</v>
      </c>
      <c r="C48" s="2" t="s">
        <v>5</v>
      </c>
      <c r="D48" t="s">
        <v>6</v>
      </c>
      <c r="H48" s="10" t="s">
        <v>102</v>
      </c>
      <c r="I48" s="10"/>
      <c r="J48" s="10"/>
    </row>
    <row r="49" spans="1:9" hidden="1">
      <c r="A49" s="1">
        <v>1</v>
      </c>
      <c r="B49" t="s">
        <v>41</v>
      </c>
      <c r="C49" s="3">
        <f t="shared" ref="C49:C68" si="1">D49/$D$69*100</f>
        <v>53.191489361702125</v>
      </c>
      <c r="D49">
        <v>250</v>
      </c>
      <c r="H49" s="3">
        <v>53.2</v>
      </c>
      <c r="I49" t="s">
        <v>130</v>
      </c>
    </row>
    <row r="50" spans="1:9" hidden="1">
      <c r="A50" s="1">
        <v>2</v>
      </c>
      <c r="B50" t="s">
        <v>128</v>
      </c>
      <c r="C50" s="3">
        <f t="shared" si="1"/>
        <v>7.1489361702127647</v>
      </c>
      <c r="D50">
        <v>33.6</v>
      </c>
      <c r="H50" s="3">
        <v>9.5744680851063819</v>
      </c>
      <c r="I50" t="s">
        <v>129</v>
      </c>
    </row>
    <row r="51" spans="1:9" hidden="1">
      <c r="A51" s="1">
        <v>3</v>
      </c>
      <c r="B51" t="s">
        <v>8</v>
      </c>
      <c r="C51" s="3">
        <f t="shared" si="1"/>
        <v>3.2021276595744679</v>
      </c>
      <c r="D51">
        <v>15.049999999999999</v>
      </c>
      <c r="H51" s="3">
        <v>9.5744680851063819</v>
      </c>
      <c r="I51" t="s">
        <v>91</v>
      </c>
    </row>
    <row r="52" spans="1:9" hidden="1">
      <c r="A52" s="1">
        <v>4</v>
      </c>
      <c r="B52" t="s">
        <v>9</v>
      </c>
      <c r="C52" s="3">
        <f t="shared" si="1"/>
        <v>1.1914893617021276</v>
      </c>
      <c r="D52">
        <v>5.6000000000000005</v>
      </c>
      <c r="H52" s="3">
        <v>7.1489361702127647</v>
      </c>
      <c r="I52" t="s">
        <v>128</v>
      </c>
    </row>
    <row r="53" spans="1:9" hidden="1">
      <c r="A53" s="1">
        <v>5</v>
      </c>
      <c r="B53" t="s">
        <v>10</v>
      </c>
      <c r="C53" s="3">
        <f t="shared" si="1"/>
        <v>0.74468085106382975</v>
      </c>
      <c r="D53">
        <v>3.5</v>
      </c>
      <c r="H53" s="3">
        <v>6.3829787234042552</v>
      </c>
      <c r="I53" t="s">
        <v>127</v>
      </c>
    </row>
    <row r="54" spans="1:9" hidden="1">
      <c r="A54" s="1">
        <v>6</v>
      </c>
      <c r="B54" t="s">
        <v>11</v>
      </c>
      <c r="C54" s="3">
        <f t="shared" si="1"/>
        <v>0.5957446808510638</v>
      </c>
      <c r="D54">
        <v>2.8000000000000003</v>
      </c>
      <c r="H54" s="3">
        <v>3.2021276595744679</v>
      </c>
      <c r="I54" t="s">
        <v>8</v>
      </c>
    </row>
    <row r="55" spans="1:9" hidden="1">
      <c r="A55" s="1">
        <v>7</v>
      </c>
      <c r="B55" t="s">
        <v>12</v>
      </c>
      <c r="C55" s="3">
        <f t="shared" si="1"/>
        <v>0.4468085106382978</v>
      </c>
      <c r="D55">
        <v>2.1</v>
      </c>
      <c r="H55" s="3">
        <v>3.1914893617021276</v>
      </c>
      <c r="I55" t="s">
        <v>126</v>
      </c>
    </row>
    <row r="56" spans="1:9" hidden="1">
      <c r="A56" s="1">
        <v>8</v>
      </c>
      <c r="B56" t="s">
        <v>13</v>
      </c>
      <c r="C56" s="3">
        <f t="shared" si="1"/>
        <v>0.37234042553191488</v>
      </c>
      <c r="D56">
        <v>1.75</v>
      </c>
      <c r="H56" s="3">
        <v>3.1914893617021276</v>
      </c>
      <c r="I56" t="s">
        <v>125</v>
      </c>
    </row>
    <row r="57" spans="1:9" hidden="1">
      <c r="A57" s="1">
        <v>9</v>
      </c>
      <c r="B57" t="s">
        <v>14</v>
      </c>
      <c r="C57" s="3">
        <f t="shared" si="1"/>
        <v>0.2978723404255319</v>
      </c>
      <c r="D57">
        <v>1.4000000000000001</v>
      </c>
      <c r="H57" s="3">
        <v>1.1914893617021276</v>
      </c>
      <c r="I57" t="s">
        <v>9</v>
      </c>
    </row>
    <row r="58" spans="1:9" hidden="1">
      <c r="A58" s="1">
        <v>10</v>
      </c>
      <c r="B58" t="s">
        <v>15</v>
      </c>
      <c r="C58" s="3">
        <f t="shared" si="1"/>
        <v>0.2978723404255319</v>
      </c>
      <c r="D58">
        <v>1.4000000000000001</v>
      </c>
      <c r="H58" s="3">
        <v>0.74468085106382975</v>
      </c>
      <c r="I58" t="s">
        <v>10</v>
      </c>
    </row>
    <row r="59" spans="1:9" hidden="1">
      <c r="A59" s="1">
        <v>11</v>
      </c>
      <c r="B59" t="s">
        <v>16</v>
      </c>
      <c r="C59" s="3">
        <f t="shared" si="1"/>
        <v>0.14893617021276595</v>
      </c>
      <c r="D59">
        <v>0.70000000000000007</v>
      </c>
      <c r="H59" s="3">
        <v>0.5957446808510638</v>
      </c>
      <c r="I59" t="s">
        <v>11</v>
      </c>
    </row>
    <row r="60" spans="1:9" hidden="1">
      <c r="A60" s="1">
        <v>12</v>
      </c>
      <c r="B60" t="s">
        <v>17</v>
      </c>
      <c r="C60" s="3">
        <f t="shared" si="1"/>
        <v>0.14893617021276595</v>
      </c>
      <c r="D60">
        <v>0.70000000000000007</v>
      </c>
      <c r="H60" s="3">
        <v>0.4468085106382978</v>
      </c>
      <c r="I60" t="s">
        <v>12</v>
      </c>
    </row>
    <row r="61" spans="1:9" hidden="1">
      <c r="A61" s="1">
        <v>13</v>
      </c>
      <c r="B61" t="s">
        <v>18</v>
      </c>
      <c r="C61" s="3">
        <f t="shared" si="1"/>
        <v>0.14893617021276595</v>
      </c>
      <c r="D61">
        <v>0.70000000000000007</v>
      </c>
      <c r="H61" s="3">
        <v>0.37234042553191488</v>
      </c>
      <c r="I61" t="s">
        <v>13</v>
      </c>
    </row>
    <row r="62" spans="1:9" hidden="1">
      <c r="A62" s="1">
        <v>14</v>
      </c>
      <c r="B62" t="s">
        <v>19</v>
      </c>
      <c r="C62" s="3">
        <f t="shared" si="1"/>
        <v>7.4468085106382975E-2</v>
      </c>
      <c r="D62">
        <v>0.35000000000000003</v>
      </c>
      <c r="H62" s="3">
        <v>0.2978723404255319</v>
      </c>
      <c r="I62" t="s">
        <v>14</v>
      </c>
    </row>
    <row r="63" spans="1:9" hidden="1">
      <c r="A63" s="1">
        <v>15</v>
      </c>
      <c r="B63" t="s">
        <v>20</v>
      </c>
      <c r="C63" s="3">
        <f t="shared" si="1"/>
        <v>7.4468085106382975E-2</v>
      </c>
      <c r="D63">
        <v>0.35000000000000003</v>
      </c>
      <c r="H63" s="3">
        <v>0.2978723404255319</v>
      </c>
      <c r="I63" t="s">
        <v>15</v>
      </c>
    </row>
    <row r="64" spans="1:9" hidden="1">
      <c r="A64" s="1">
        <v>16</v>
      </c>
      <c r="B64" t="s">
        <v>34</v>
      </c>
      <c r="C64" s="3">
        <f t="shared" si="1"/>
        <v>9.5744680851063819</v>
      </c>
      <c r="D64">
        <v>45</v>
      </c>
      <c r="H64" s="3">
        <v>0.14893617021276595</v>
      </c>
      <c r="I64" t="s">
        <v>16</v>
      </c>
    </row>
    <row r="65" spans="1:9" hidden="1">
      <c r="A65" s="1">
        <v>17</v>
      </c>
      <c r="B65" t="s">
        <v>33</v>
      </c>
      <c r="C65" s="3">
        <f t="shared" si="1"/>
        <v>9.5744680851063819</v>
      </c>
      <c r="D65">
        <v>45</v>
      </c>
      <c r="H65" s="3">
        <v>0.14893617021276595</v>
      </c>
      <c r="I65" t="s">
        <v>17</v>
      </c>
    </row>
    <row r="66" spans="1:9" hidden="1">
      <c r="A66" s="1">
        <v>18</v>
      </c>
      <c r="B66" t="s">
        <v>124</v>
      </c>
      <c r="C66" s="3">
        <f t="shared" si="1"/>
        <v>3.1914893617021276</v>
      </c>
      <c r="D66">
        <v>15</v>
      </c>
      <c r="H66" s="3">
        <v>0.14893617021276595</v>
      </c>
      <c r="I66" t="s">
        <v>18</v>
      </c>
    </row>
    <row r="67" spans="1:9" hidden="1">
      <c r="A67" s="1">
        <v>19</v>
      </c>
      <c r="B67" t="s">
        <v>123</v>
      </c>
      <c r="C67" s="3">
        <f t="shared" si="1"/>
        <v>6.3829787234042552</v>
      </c>
      <c r="D67">
        <v>30</v>
      </c>
      <c r="H67" s="3">
        <v>7.4468085106382975E-2</v>
      </c>
      <c r="I67" t="s">
        <v>19</v>
      </c>
    </row>
    <row r="68" spans="1:9" hidden="1">
      <c r="A68" s="1">
        <v>20</v>
      </c>
      <c r="B68" t="s">
        <v>37</v>
      </c>
      <c r="C68" s="3">
        <f t="shared" si="1"/>
        <v>3.1914893617021276</v>
      </c>
      <c r="D68">
        <v>15</v>
      </c>
      <c r="H68" s="3">
        <v>7.4468085106382975E-2</v>
      </c>
      <c r="I68" t="s">
        <v>20</v>
      </c>
    </row>
    <row r="69" spans="1:9" hidden="1">
      <c r="A69" s="9" t="s">
        <v>21</v>
      </c>
      <c r="B69" s="9"/>
      <c r="C69">
        <f>SUM(C49:C68)</f>
        <v>100</v>
      </c>
      <c r="D69">
        <f>SUM(D49:D68)</f>
        <v>470.00000000000006</v>
      </c>
    </row>
    <row r="71" spans="1:9">
      <c r="B71" t="s">
        <v>2</v>
      </c>
      <c r="C71" t="s">
        <v>164</v>
      </c>
    </row>
    <row r="72" spans="1:9" ht="19.149999999999999">
      <c r="B72" t="s">
        <v>22</v>
      </c>
      <c r="C72" s="11" t="s">
        <v>165</v>
      </c>
    </row>
    <row r="73" spans="1:9" ht="19.149999999999999">
      <c r="C73" t="s">
        <v>167</v>
      </c>
    </row>
    <row r="74" spans="1:9" ht="19.149999999999999">
      <c r="C74" t="s">
        <v>166</v>
      </c>
    </row>
    <row r="75" spans="1:9" ht="19.149999999999999">
      <c r="C75" s="11"/>
    </row>
    <row r="76" spans="1:9">
      <c r="B76" t="s">
        <v>25</v>
      </c>
      <c r="C76" t="s">
        <v>168</v>
      </c>
    </row>
    <row r="77" spans="1:9">
      <c r="B77" t="s">
        <v>27</v>
      </c>
      <c r="C77" t="s">
        <v>42</v>
      </c>
    </row>
    <row r="78" spans="1:9">
      <c r="B78" t="s">
        <v>31</v>
      </c>
      <c r="C78">
        <v>1000</v>
      </c>
    </row>
    <row r="79" spans="1:9">
      <c r="B79" t="s">
        <v>43</v>
      </c>
      <c r="C79" t="s">
        <v>44</v>
      </c>
    </row>
    <row r="80" spans="1:9">
      <c r="B80" t="s">
        <v>98</v>
      </c>
      <c r="C80" t="s">
        <v>152</v>
      </c>
    </row>
    <row r="81" spans="2:3">
      <c r="B81" t="s">
        <v>67</v>
      </c>
      <c r="C81" t="s">
        <v>117</v>
      </c>
    </row>
    <row r="82" spans="2:3">
      <c r="B82" t="s">
        <v>113</v>
      </c>
      <c r="C82" t="s">
        <v>114</v>
      </c>
    </row>
    <row r="83" spans="2:3">
      <c r="B83" t="s">
        <v>115</v>
      </c>
      <c r="C83" t="s">
        <v>116</v>
      </c>
    </row>
    <row r="85" spans="2:3">
      <c r="B85" t="s">
        <v>45</v>
      </c>
      <c r="C85" t="s">
        <v>103</v>
      </c>
    </row>
    <row r="86" spans="2:3">
      <c r="C86" t="s">
        <v>159</v>
      </c>
    </row>
    <row r="87" spans="2:3">
      <c r="B87" t="s">
        <v>46</v>
      </c>
      <c r="C87" t="s">
        <v>119</v>
      </c>
    </row>
    <row r="88" spans="2:3">
      <c r="C88" t="s">
        <v>106</v>
      </c>
    </row>
    <row r="89" spans="2:3">
      <c r="C89" t="s">
        <v>118</v>
      </c>
    </row>
    <row r="90" spans="2:3">
      <c r="C90" t="s">
        <v>133</v>
      </c>
    </row>
    <row r="91" spans="2:3">
      <c r="C91" t="s">
        <v>109</v>
      </c>
    </row>
    <row r="92" spans="2:3">
      <c r="C92" t="s">
        <v>110</v>
      </c>
    </row>
    <row r="93" spans="2:3">
      <c r="C93" t="s">
        <v>111</v>
      </c>
    </row>
  </sheetData>
  <mergeCells count="7">
    <mergeCell ref="A69:B69"/>
    <mergeCell ref="A2:D2"/>
    <mergeCell ref="A19:B19"/>
    <mergeCell ref="A30:D30"/>
    <mergeCell ref="A37:B37"/>
    <mergeCell ref="A47:D47"/>
    <mergeCell ref="H48:J4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청양식 닭갈비 밀키트</vt:lpstr>
      <vt:lpstr>청양식 한우육개장 밀키트</vt:lpstr>
      <vt:lpstr>표고와사비장</vt:lpstr>
      <vt:lpstr>청양식 한우불고기 밀키트</vt:lpstr>
      <vt:lpstr>청양식 된장찌개 밀키트</vt:lpstr>
      <vt:lpstr>청양식 두부전골 밀키트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seulki yoon</dc:creator>
  <cp:lastModifiedBy>seulki yoon</cp:lastModifiedBy>
  <dcterms:created xsi:type="dcterms:W3CDTF">2025-09-05T02:52:49Z</dcterms:created>
  <dcterms:modified xsi:type="dcterms:W3CDTF">2025-11-22T03:09:01Z</dcterms:modified>
</cp:coreProperties>
</file>